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Google Drive\Thesis\_Isodesmic Code\RGA\"/>
    </mc:Choice>
  </mc:AlternateContent>
  <bookViews>
    <workbookView xWindow="0" yWindow="0" windowWidth="19068" windowHeight="6468" activeTab="2"/>
  </bookViews>
  <sheets>
    <sheet name="CCC" sheetId="1" r:id="rId1"/>
    <sheet name="Lit. data" sheetId="7" r:id="rId2"/>
    <sheet name="All species" sheetId="6" r:id="rId3"/>
    <sheet name="C=CC" sheetId="2" r:id="rId4"/>
    <sheet name="C#CC" sheetId="3" r:id="rId5"/>
    <sheet name="C1CCCCC1" sheetId="4" r:id="rId6"/>
    <sheet name="C1=CC=CC=C1" sheetId="5" r:id="rId7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9" i="1" l="1"/>
  <c r="F19" i="1"/>
  <c r="T14" i="6" l="1"/>
  <c r="T11" i="6"/>
  <c r="T10" i="6"/>
  <c r="T13" i="6"/>
  <c r="T12" i="6"/>
  <c r="P14" i="6"/>
  <c r="P15" i="6" s="1"/>
  <c r="P11" i="6"/>
  <c r="P10" i="6"/>
  <c r="P13" i="6"/>
  <c r="P12" i="6"/>
  <c r="L10" i="6"/>
  <c r="L14" i="6"/>
  <c r="L13" i="6"/>
  <c r="L12" i="6"/>
  <c r="L11" i="6"/>
  <c r="H15" i="6"/>
  <c r="H11" i="6"/>
  <c r="H14" i="6"/>
  <c r="H13" i="6"/>
  <c r="H12" i="6"/>
  <c r="H10" i="6"/>
  <c r="D15" i="6"/>
  <c r="D14" i="6"/>
  <c r="D13" i="6"/>
  <c r="D12" i="6"/>
  <c r="D11" i="6"/>
  <c r="E31" i="2"/>
  <c r="D10" i="6"/>
  <c r="G20" i="5"/>
  <c r="G21" i="5"/>
  <c r="G22" i="5"/>
  <c r="G23" i="5"/>
  <c r="G19" i="5"/>
  <c r="E20" i="5"/>
  <c r="E21" i="5"/>
  <c r="E22" i="5"/>
  <c r="E23" i="5"/>
  <c r="E19" i="5"/>
  <c r="H12" i="4"/>
  <c r="H13" i="4"/>
  <c r="H14" i="4"/>
  <c r="H11" i="4"/>
  <c r="H4" i="4"/>
  <c r="H5" i="4"/>
  <c r="H6" i="4"/>
  <c r="H3" i="4"/>
  <c r="H12" i="3"/>
  <c r="H13" i="3"/>
  <c r="H14" i="3"/>
  <c r="H11" i="3"/>
  <c r="H4" i="3"/>
  <c r="H5" i="3"/>
  <c r="H6" i="3"/>
  <c r="H3" i="3"/>
  <c r="G19" i="4"/>
  <c r="G20" i="4"/>
  <c r="G21" i="4"/>
  <c r="G22" i="4"/>
  <c r="G23" i="4"/>
  <c r="G18" i="4"/>
  <c r="E19" i="4"/>
  <c r="E20" i="4"/>
  <c r="E21" i="4"/>
  <c r="E22" i="4"/>
  <c r="E23" i="4"/>
  <c r="E18" i="4"/>
  <c r="E19" i="3"/>
  <c r="E20" i="3"/>
  <c r="E21" i="3"/>
  <c r="E22" i="3"/>
  <c r="E23" i="3"/>
  <c r="G19" i="3"/>
  <c r="G20" i="3"/>
  <c r="G21" i="3"/>
  <c r="G22" i="3"/>
  <c r="G23" i="3"/>
  <c r="G18" i="3"/>
  <c r="E18" i="3"/>
  <c r="H11" i="2"/>
  <c r="H12" i="2"/>
  <c r="H13" i="2"/>
  <c r="H10" i="2"/>
  <c r="H4" i="2"/>
  <c r="H5" i="2"/>
  <c r="H6" i="2"/>
  <c r="H3" i="2"/>
  <c r="G32" i="2"/>
  <c r="G33" i="2"/>
  <c r="G34" i="2"/>
  <c r="G35" i="2"/>
  <c r="G36" i="2"/>
  <c r="G31" i="2"/>
  <c r="E32" i="2"/>
  <c r="E33" i="2"/>
  <c r="E34" i="2"/>
  <c r="E35" i="2"/>
  <c r="E36" i="2"/>
  <c r="I10" i="1"/>
  <c r="I11" i="1"/>
  <c r="I12" i="1"/>
  <c r="I13" i="1"/>
  <c r="I17" i="1"/>
  <c r="I18" i="1"/>
  <c r="I24" i="1"/>
  <c r="I25" i="1"/>
  <c r="I26" i="1"/>
  <c r="I27" i="1"/>
  <c r="I4" i="1"/>
  <c r="I5" i="1"/>
  <c r="I6" i="1"/>
  <c r="I3" i="1"/>
  <c r="G33" i="1"/>
  <c r="G34" i="1"/>
  <c r="G35" i="1"/>
  <c r="G36" i="1"/>
  <c r="G37" i="1"/>
  <c r="G32" i="1"/>
  <c r="E33" i="1"/>
  <c r="E34" i="1"/>
  <c r="E35" i="1"/>
  <c r="E36" i="1"/>
  <c r="E37" i="1"/>
  <c r="E32" i="1"/>
  <c r="E25" i="2"/>
  <c r="E26" i="2"/>
  <c r="E27" i="2"/>
  <c r="E24" i="2"/>
  <c r="E18" i="2"/>
  <c r="E17" i="2"/>
  <c r="F27" i="1"/>
  <c r="F26" i="1"/>
  <c r="F25" i="1"/>
  <c r="F24" i="1"/>
  <c r="F18" i="1"/>
  <c r="F17" i="1"/>
  <c r="E13" i="5"/>
  <c r="E14" i="5"/>
  <c r="E12" i="5"/>
  <c r="E11" i="5"/>
  <c r="E12" i="4"/>
  <c r="E13" i="4"/>
  <c r="E14" i="4"/>
  <c r="E11" i="4"/>
  <c r="E12" i="3"/>
  <c r="E13" i="3"/>
  <c r="E14" i="3"/>
  <c r="E11" i="3"/>
  <c r="E11" i="2"/>
  <c r="E12" i="2"/>
  <c r="E13" i="2"/>
  <c r="E10" i="2"/>
  <c r="F11" i="1"/>
  <c r="F12" i="1"/>
  <c r="F13" i="1"/>
  <c r="F10" i="1"/>
  <c r="E4" i="5"/>
  <c r="E5" i="5"/>
  <c r="E6" i="5"/>
  <c r="E3" i="5"/>
  <c r="E4" i="4"/>
  <c r="E5" i="4"/>
  <c r="E6" i="4"/>
  <c r="E3" i="4"/>
  <c r="E6" i="2"/>
  <c r="E4" i="3"/>
  <c r="E5" i="3"/>
  <c r="E6" i="3"/>
  <c r="E3" i="3"/>
  <c r="E4" i="2"/>
  <c r="E5" i="2"/>
  <c r="E3" i="2"/>
  <c r="F4" i="1"/>
  <c r="F5" i="1"/>
  <c r="F6" i="1"/>
  <c r="F3" i="1"/>
  <c r="T15" i="6" l="1"/>
  <c r="L15" i="6"/>
</calcChain>
</file>

<file path=xl/sharedStrings.xml><?xml version="1.0" encoding="utf-8"?>
<sst xmlns="http://schemas.openxmlformats.org/spreadsheetml/2006/main" count="326" uniqueCount="84">
  <si>
    <t>No. of species</t>
  </si>
  <si>
    <t>No. of reactions</t>
  </si>
  <si>
    <t>Execution time</t>
  </si>
  <si>
    <t>HoF</t>
  </si>
  <si>
    <t>Uncertainty</t>
  </si>
  <si>
    <t>Std</t>
  </si>
  <si>
    <t>Diff</t>
  </si>
  <si>
    <t>same_coef=True, stochastic=False</t>
  </si>
  <si>
    <t>same_coef=True, stochastic=True,no_trials=10k</t>
  </si>
  <si>
    <t>same_coef=True, stochastic=True, no_trials=10k</t>
  </si>
  <si>
    <t>same_coef=False, stochastic=False</t>
  </si>
  <si>
    <t>-</t>
  </si>
  <si>
    <t>same_coef=False, stochastic=True, no_trials=1k</t>
  </si>
  <si>
    <t>No. of rxns</t>
  </si>
  <si>
    <t>Time execution</t>
  </si>
  <si>
    <t>Same_coef, all, 4 species</t>
  </si>
  <si>
    <t>Same_coef, stochastic, 4 species</t>
  </si>
  <si>
    <t>Same_coef, stochastic 10k trials, 5 species</t>
  </si>
  <si>
    <t>Same_coef, stochastic 1k trials, 6 species</t>
  </si>
  <si>
    <t>Diff_coef, stochastic 1k trials, 4 species</t>
  </si>
  <si>
    <t>Different rxn class</t>
  </si>
  <si>
    <t>All rxns</t>
  </si>
  <si>
    <t>Isogyric</t>
  </si>
  <si>
    <t>Isodesmic</t>
  </si>
  <si>
    <t>Hypohomodesmotic</t>
  </si>
  <si>
    <t>Homodesmotic</t>
  </si>
  <si>
    <t>Hyperhomodesmotic</t>
  </si>
  <si>
    <t>Diff Uncert</t>
  </si>
  <si>
    <t>Number of reactions</t>
  </si>
  <si>
    <t>Non-constrained</t>
  </si>
  <si>
    <t>Type</t>
  </si>
  <si>
    <t>Nonconstrained</t>
  </si>
  <si>
    <t>CCC</t>
  </si>
  <si>
    <t>Cosine</t>
  </si>
  <si>
    <t>Tanimoto</t>
  </si>
  <si>
    <t>Euclidean</t>
  </si>
  <si>
    <t>Manhattan</t>
  </si>
  <si>
    <t>CC=C</t>
  </si>
  <si>
    <t>CC#C</t>
  </si>
  <si>
    <t>C1=CC=CC=C1</t>
  </si>
  <si>
    <t>Mean</t>
  </si>
  <si>
    <t>Uncert</t>
  </si>
  <si>
    <t>C1CCCCC1</t>
  </si>
  <si>
    <t>Bray-Curtis</t>
  </si>
  <si>
    <t>Reaction</t>
  </si>
  <si>
    <t>HRCF</t>
  </si>
  <si>
    <t>ECFP</t>
  </si>
  <si>
    <t>FCFP</t>
  </si>
  <si>
    <t>BoB</t>
  </si>
  <si>
    <t>CM</t>
  </si>
  <si>
    <t>AP</t>
  </si>
  <si>
    <t>TT</t>
  </si>
  <si>
    <t>0.379 (0.536)</t>
  </si>
  <si>
    <t>0.429 (0.552)</t>
  </si>
  <si>
    <t>0.382 (0.514)</t>
  </si>
  <si>
    <t>0.413 (0.550)</t>
  </si>
  <si>
    <t>0.392 (0.636)</t>
  </si>
  <si>
    <t>0.433 (0.708)</t>
  </si>
  <si>
    <t>0.387 (0.527)</t>
  </si>
  <si>
    <t>0.381 (0.514)</t>
  </si>
  <si>
    <t>0.407 (0.460)</t>
  </si>
  <si>
    <t>6.932 (11.477)</t>
  </si>
  <si>
    <t>7.639 (13.788)</t>
  </si>
  <si>
    <t>8.955 (16.031)</t>
  </si>
  <si>
    <t>7.807 (12.578)</t>
  </si>
  <si>
    <t>8.986 (14.659)</t>
  </si>
  <si>
    <t>8.691 (14.036)</t>
  </si>
  <si>
    <t>6.530 (9.656)</t>
  </si>
  <si>
    <t>6.126 (10.243)</t>
  </si>
  <si>
    <t>5.044 (5.697)</t>
  </si>
  <si>
    <t>0.539
(1.054)</t>
  </si>
  <si>
    <t>9.135
(14.512)</t>
  </si>
  <si>
    <t>CC</t>
  </si>
  <si>
    <t>complete_set=True, no_species=4</t>
  </si>
  <si>
    <t>same_coef=True, stochastic=True,no_species=4</t>
  </si>
  <si>
    <t>same_coef=True, stochastic=True,no_species=5</t>
  </si>
  <si>
    <t>same_coef=False, stochastic=True,no_species=4</t>
  </si>
  <si>
    <t>same_coef=False, stochastic=True,no_species=5</t>
  </si>
  <si>
    <t>same_coef=False, stochastic=True,no_species=6</t>
  </si>
  <si>
    <t>same_coef=True, stochastic=True,no_species=6, no_trials=10k</t>
  </si>
  <si>
    <t>same_coef=True, stochastic=True,no_species=6, no_trials=100k</t>
  </si>
  <si>
    <t>same_coef=False, stochastic=True,no_species=6, no_trials=10k</t>
  </si>
  <si>
    <t>QM9</t>
  </si>
  <si>
    <t>HRCF 10%, non-filter, non-constrained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</si>
</sst>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/>
    <xf numFmtId="0" fontId="0" fillId="2" borderId="5" xfId="0" applyFill="1" applyBorder="1"/>
    <xf numFmtId="0" fontId="3" fillId="0" borderId="5" xfId="0" applyFont="1" applyBorder="1"/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opLeftCell="A10" zoomScale="85" zoomScaleNormal="85" workbookViewId="0">
      <selection activeCell="F23" sqref="F23"/>
    </sheetView>
  </sheetViews>
  <sheetFormatPr defaultRowHeight="14.4" x14ac:dyDescent="0.3"/>
  <cols>
    <col min="1" max="1" width="18.21875" bestFit="1" customWidth="1"/>
    <col min="2" max="2" width="18.21875" customWidth="1"/>
    <col min="3" max="3" width="14.33203125" bestFit="1" customWidth="1"/>
    <col min="4" max="4" width="13.21875" style="1" bestFit="1" customWidth="1"/>
    <col min="6" max="8" width="10.5546875" bestFit="1" customWidth="1"/>
    <col min="9" max="9" width="10" bestFit="1" customWidth="1"/>
  </cols>
  <sheetData>
    <row r="1" spans="1:9" x14ac:dyDescent="0.3">
      <c r="A1" s="7" t="s">
        <v>7</v>
      </c>
      <c r="B1" s="7"/>
      <c r="C1" s="7"/>
      <c r="D1" s="7"/>
      <c r="E1" s="7"/>
      <c r="F1" s="7"/>
      <c r="G1" s="7"/>
      <c r="H1" s="7"/>
    </row>
    <row r="2" spans="1:9" x14ac:dyDescent="0.3">
      <c r="A2" t="s">
        <v>0</v>
      </c>
      <c r="C2" t="s">
        <v>28</v>
      </c>
      <c r="D2" s="1" t="s">
        <v>2</v>
      </c>
      <c r="E2" t="s">
        <v>3</v>
      </c>
      <c r="F2" t="s">
        <v>6</v>
      </c>
      <c r="G2" t="s">
        <v>5</v>
      </c>
      <c r="H2" t="s">
        <v>4</v>
      </c>
      <c r="I2" t="s">
        <v>27</v>
      </c>
    </row>
    <row r="3" spans="1:9" x14ac:dyDescent="0.3">
      <c r="A3">
        <v>3</v>
      </c>
      <c r="C3">
        <v>26</v>
      </c>
      <c r="D3" s="1">
        <v>0.15238725345451801</v>
      </c>
      <c r="E3">
        <v>-25.608000000000001</v>
      </c>
      <c r="F3">
        <f>ABS(E3+25.1)</f>
        <v>0.50799999999999912</v>
      </c>
      <c r="G3">
        <v>0.73499999999999999</v>
      </c>
      <c r="H3">
        <v>5.1999999999999998E-2</v>
      </c>
      <c r="I3">
        <f>ABS(H3-0.05)</f>
        <v>1.9999999999999948E-3</v>
      </c>
    </row>
    <row r="4" spans="1:9" x14ac:dyDescent="0.3">
      <c r="A4">
        <v>4</v>
      </c>
      <c r="C4">
        <v>1493</v>
      </c>
      <c r="D4" s="1">
        <v>1.7009182837229</v>
      </c>
      <c r="E4">
        <v>-25.404</v>
      </c>
      <c r="F4">
        <f t="shared" ref="F4:F6" si="0">ABS(E4+25.1)</f>
        <v>0.30399999999999849</v>
      </c>
      <c r="G4">
        <v>0.88800000000000001</v>
      </c>
      <c r="H4">
        <v>8.7999999999999995E-2</v>
      </c>
      <c r="I4">
        <f t="shared" ref="I4:I27" si="1">ABS(H4-0.05)</f>
        <v>3.7999999999999992E-2</v>
      </c>
    </row>
    <row r="5" spans="1:9" x14ac:dyDescent="0.3">
      <c r="A5">
        <v>5</v>
      </c>
      <c r="C5">
        <v>36188</v>
      </c>
      <c r="D5" s="1">
        <v>65.278890290714799</v>
      </c>
      <c r="E5">
        <v>-25.393000000000001</v>
      </c>
      <c r="F5">
        <f t="shared" si="0"/>
        <v>0.29299999999999926</v>
      </c>
      <c r="G5">
        <v>1.4379999999999999</v>
      </c>
      <c r="H5">
        <v>7.6999999999999999E-2</v>
      </c>
      <c r="I5">
        <f t="shared" si="1"/>
        <v>2.6999999999999996E-2</v>
      </c>
    </row>
    <row r="6" spans="1:9" x14ac:dyDescent="0.3">
      <c r="A6">
        <v>6</v>
      </c>
      <c r="C6">
        <v>765340</v>
      </c>
      <c r="D6" s="1">
        <v>2120.0868765405298</v>
      </c>
      <c r="E6">
        <v>-25.369</v>
      </c>
      <c r="F6">
        <f t="shared" si="0"/>
        <v>0.26899999999999835</v>
      </c>
      <c r="G6">
        <v>1.639</v>
      </c>
      <c r="H6">
        <v>8.3000000000000004E-2</v>
      </c>
      <c r="I6">
        <f t="shared" si="1"/>
        <v>3.3000000000000002E-2</v>
      </c>
    </row>
    <row r="8" spans="1:9" x14ac:dyDescent="0.3">
      <c r="A8" s="7" t="s">
        <v>8</v>
      </c>
      <c r="B8" s="7"/>
      <c r="C8" s="7"/>
      <c r="D8" s="7"/>
      <c r="E8" s="7"/>
      <c r="F8" s="7"/>
      <c r="G8" s="7"/>
      <c r="H8" s="7"/>
    </row>
    <row r="9" spans="1:9" x14ac:dyDescent="0.3">
      <c r="A9" t="s">
        <v>0</v>
      </c>
      <c r="C9" t="s">
        <v>1</v>
      </c>
      <c r="D9" s="1" t="s">
        <v>2</v>
      </c>
      <c r="E9" t="s">
        <v>3</v>
      </c>
      <c r="F9" t="s">
        <v>6</v>
      </c>
      <c r="G9" t="s">
        <v>5</v>
      </c>
      <c r="H9" t="s">
        <v>4</v>
      </c>
      <c r="I9" t="s">
        <v>27</v>
      </c>
    </row>
    <row r="10" spans="1:9" x14ac:dyDescent="0.3">
      <c r="A10">
        <v>3</v>
      </c>
      <c r="C10">
        <v>16</v>
      </c>
      <c r="D10" s="1">
        <v>0.18754865379969399</v>
      </c>
      <c r="E10">
        <v>-25.678000000000001</v>
      </c>
      <c r="F10">
        <f t="shared" ref="F10:F13" si="2">ABS(E10+25.1)</f>
        <v>0.5779999999999994</v>
      </c>
      <c r="G10">
        <v>0.82</v>
      </c>
      <c r="H10">
        <v>8.2000000000000003E-2</v>
      </c>
      <c r="I10">
        <f t="shared" si="1"/>
        <v>3.2000000000000001E-2</v>
      </c>
    </row>
    <row r="11" spans="1:9" x14ac:dyDescent="0.3">
      <c r="A11">
        <v>4</v>
      </c>
      <c r="C11">
        <v>149</v>
      </c>
      <c r="D11" s="1">
        <v>0.92113426317027702</v>
      </c>
      <c r="E11">
        <v>-25.452000000000002</v>
      </c>
      <c r="F11">
        <f t="shared" si="2"/>
        <v>0.35200000000000031</v>
      </c>
      <c r="G11">
        <v>0.77500000000000002</v>
      </c>
      <c r="H11">
        <v>9.9000000000000005E-2</v>
      </c>
      <c r="I11">
        <f t="shared" si="1"/>
        <v>4.9000000000000002E-2</v>
      </c>
    </row>
    <row r="12" spans="1:9" x14ac:dyDescent="0.3">
      <c r="A12">
        <v>5</v>
      </c>
      <c r="C12">
        <v>209</v>
      </c>
      <c r="D12" s="1">
        <v>2.1093899267488898</v>
      </c>
      <c r="E12">
        <v>-25.433</v>
      </c>
      <c r="F12">
        <f t="shared" si="2"/>
        <v>0.33299999999999841</v>
      </c>
      <c r="G12">
        <v>1.1539999999999999</v>
      </c>
      <c r="H12">
        <v>0.09</v>
      </c>
      <c r="I12">
        <f t="shared" si="1"/>
        <v>3.9999999999999994E-2</v>
      </c>
    </row>
    <row r="13" spans="1:9" x14ac:dyDescent="0.3">
      <c r="A13">
        <v>6</v>
      </c>
      <c r="C13">
        <v>341</v>
      </c>
      <c r="D13" s="1">
        <v>4.4607295740887798</v>
      </c>
      <c r="E13">
        <v>-25.372</v>
      </c>
      <c r="F13">
        <f t="shared" si="2"/>
        <v>0.27199999999999847</v>
      </c>
      <c r="G13">
        <v>1.296</v>
      </c>
      <c r="H13">
        <v>8.7999999999999995E-2</v>
      </c>
      <c r="I13">
        <f t="shared" si="1"/>
        <v>3.7999999999999992E-2</v>
      </c>
    </row>
    <row r="15" spans="1:9" x14ac:dyDescent="0.3">
      <c r="A15" s="7" t="s">
        <v>10</v>
      </c>
      <c r="B15" s="7"/>
      <c r="C15" s="7"/>
      <c r="D15" s="7"/>
      <c r="E15" s="7"/>
      <c r="F15" s="7"/>
      <c r="G15" s="7"/>
      <c r="H15" s="7"/>
    </row>
    <row r="16" spans="1:9" x14ac:dyDescent="0.3">
      <c r="A16" t="s">
        <v>0</v>
      </c>
      <c r="C16" t="s">
        <v>1</v>
      </c>
      <c r="D16" s="1" t="s">
        <v>2</v>
      </c>
      <c r="E16" t="s">
        <v>3</v>
      </c>
      <c r="F16" t="s">
        <v>6</v>
      </c>
      <c r="G16" t="s">
        <v>5</v>
      </c>
      <c r="H16" t="s">
        <v>4</v>
      </c>
      <c r="I16" t="s">
        <v>27</v>
      </c>
    </row>
    <row r="17" spans="1:9" x14ac:dyDescent="0.3">
      <c r="A17">
        <v>3</v>
      </c>
      <c r="C17">
        <v>1618</v>
      </c>
      <c r="D17" s="1">
        <v>4.0460720889434798</v>
      </c>
      <c r="E17">
        <v>-25.739000000000001</v>
      </c>
      <c r="F17">
        <f t="shared" ref="F17:F19" si="3">ABS(E17+25.1)</f>
        <v>0.63899999999999935</v>
      </c>
      <c r="G17">
        <v>3.5139999999999998</v>
      </c>
      <c r="H17">
        <v>0.115</v>
      </c>
      <c r="I17">
        <f t="shared" si="1"/>
        <v>6.5000000000000002E-2</v>
      </c>
    </row>
    <row r="18" spans="1:9" x14ac:dyDescent="0.3">
      <c r="A18">
        <v>4</v>
      </c>
      <c r="C18">
        <v>188670</v>
      </c>
      <c r="D18" s="1">
        <v>1637.7803986571901</v>
      </c>
      <c r="E18">
        <v>-25.672999999999998</v>
      </c>
      <c r="F18">
        <f t="shared" si="3"/>
        <v>0.57299999999999685</v>
      </c>
      <c r="G18">
        <v>5.3609999999999998</v>
      </c>
      <c r="H18">
        <v>0.113</v>
      </c>
      <c r="I18">
        <f t="shared" si="1"/>
        <v>6.3E-2</v>
      </c>
    </row>
    <row r="19" spans="1:9" x14ac:dyDescent="0.3">
      <c r="A19">
        <v>5</v>
      </c>
      <c r="C19">
        <v>7085283</v>
      </c>
      <c r="D19" s="1">
        <v>592694.31475238397</v>
      </c>
      <c r="E19">
        <v>-25.643000000000001</v>
      </c>
      <c r="F19">
        <f t="shared" si="3"/>
        <v>0.54299999999999926</v>
      </c>
      <c r="G19">
        <v>5.9850000000000003</v>
      </c>
      <c r="H19">
        <v>0.113</v>
      </c>
      <c r="I19">
        <f t="shared" si="1"/>
        <v>6.3E-2</v>
      </c>
    </row>
    <row r="20" spans="1:9" x14ac:dyDescent="0.3">
      <c r="A20">
        <v>6</v>
      </c>
      <c r="C20" t="s">
        <v>11</v>
      </c>
      <c r="D20" s="1" t="s">
        <v>11</v>
      </c>
      <c r="E20" t="s">
        <v>11</v>
      </c>
      <c r="F20" t="s">
        <v>11</v>
      </c>
      <c r="G20" t="s">
        <v>11</v>
      </c>
      <c r="H20" t="s">
        <v>11</v>
      </c>
    </row>
    <row r="22" spans="1:9" x14ac:dyDescent="0.3">
      <c r="A22" s="7" t="s">
        <v>12</v>
      </c>
      <c r="B22" s="7"/>
      <c r="C22" s="7"/>
      <c r="D22" s="7"/>
      <c r="E22" s="7"/>
      <c r="F22" s="7"/>
      <c r="G22" s="7"/>
      <c r="H22" s="7"/>
    </row>
    <row r="23" spans="1:9" x14ac:dyDescent="0.3">
      <c r="A23" t="s">
        <v>0</v>
      </c>
      <c r="C23" t="s">
        <v>1</v>
      </c>
      <c r="D23" s="1" t="s">
        <v>2</v>
      </c>
      <c r="E23" t="s">
        <v>3</v>
      </c>
      <c r="F23" t="s">
        <v>6</v>
      </c>
      <c r="G23" t="s">
        <v>5</v>
      </c>
      <c r="H23" t="s">
        <v>4</v>
      </c>
      <c r="I23" t="s">
        <v>27</v>
      </c>
    </row>
    <row r="24" spans="1:9" x14ac:dyDescent="0.3">
      <c r="A24">
        <v>3</v>
      </c>
      <c r="C24">
        <v>328</v>
      </c>
      <c r="D24" s="1">
        <v>0.93889319612632804</v>
      </c>
      <c r="E24">
        <v>-25.702999999999999</v>
      </c>
      <c r="F24">
        <f t="shared" ref="F24:F27" si="4">ABS(E24+25.1)</f>
        <v>0.60299999999999798</v>
      </c>
      <c r="G24">
        <v>4.6559999999999997</v>
      </c>
      <c r="H24">
        <v>0.114</v>
      </c>
      <c r="I24">
        <f t="shared" si="1"/>
        <v>6.4000000000000001E-2</v>
      </c>
    </row>
    <row r="25" spans="1:9" x14ac:dyDescent="0.3">
      <c r="A25">
        <v>4</v>
      </c>
      <c r="C25">
        <v>1758</v>
      </c>
      <c r="D25" s="1">
        <v>23.402993600199501</v>
      </c>
      <c r="E25">
        <v>-25.716999999999999</v>
      </c>
      <c r="F25">
        <f t="shared" si="4"/>
        <v>0.61699999999999733</v>
      </c>
      <c r="G25">
        <v>6.3289999999999997</v>
      </c>
      <c r="H25">
        <v>0.124</v>
      </c>
      <c r="I25">
        <f t="shared" si="1"/>
        <v>7.3999999999999996E-2</v>
      </c>
    </row>
    <row r="26" spans="1:9" x14ac:dyDescent="0.3">
      <c r="A26">
        <v>5</v>
      </c>
      <c r="C26">
        <v>3985</v>
      </c>
      <c r="D26" s="1">
        <v>199.482157773317</v>
      </c>
      <c r="E26">
        <v>-25.692</v>
      </c>
      <c r="F26">
        <f t="shared" si="4"/>
        <v>0.59199999999999875</v>
      </c>
      <c r="G26">
        <v>5.5439999999999996</v>
      </c>
      <c r="H26">
        <v>0.125</v>
      </c>
      <c r="I26">
        <f t="shared" si="1"/>
        <v>7.4999999999999997E-2</v>
      </c>
    </row>
    <row r="27" spans="1:9" x14ac:dyDescent="0.3">
      <c r="A27">
        <v>6</v>
      </c>
      <c r="C27">
        <v>7257</v>
      </c>
      <c r="D27" s="1">
        <v>419.36268930571703</v>
      </c>
      <c r="E27">
        <v>-25.745999999999999</v>
      </c>
      <c r="F27">
        <f t="shared" si="4"/>
        <v>0.64599999999999724</v>
      </c>
      <c r="G27">
        <v>5.79</v>
      </c>
      <c r="H27">
        <v>0.105</v>
      </c>
      <c r="I27">
        <f t="shared" si="1"/>
        <v>5.4999999999999993E-2</v>
      </c>
    </row>
    <row r="30" spans="1:9" x14ac:dyDescent="0.3">
      <c r="A30" s="7" t="s">
        <v>20</v>
      </c>
      <c r="B30" s="7"/>
      <c r="C30" s="7"/>
      <c r="D30" s="7"/>
      <c r="E30" s="7"/>
      <c r="F30" s="7"/>
      <c r="G30" s="7"/>
      <c r="H30" s="7"/>
    </row>
    <row r="31" spans="1:9" x14ac:dyDescent="0.3">
      <c r="A31" t="s">
        <v>30</v>
      </c>
      <c r="B31" t="s">
        <v>13</v>
      </c>
      <c r="C31" s="1" t="s">
        <v>3</v>
      </c>
      <c r="D31" t="s">
        <v>5</v>
      </c>
      <c r="E31" t="s">
        <v>6</v>
      </c>
      <c r="F31" t="s">
        <v>4</v>
      </c>
      <c r="G31" t="s">
        <v>27</v>
      </c>
    </row>
    <row r="32" spans="1:9" x14ac:dyDescent="0.3">
      <c r="A32" t="s">
        <v>31</v>
      </c>
      <c r="B32">
        <v>1493</v>
      </c>
      <c r="C32" s="1">
        <v>-25.404</v>
      </c>
      <c r="D32">
        <v>0.88800000000000001</v>
      </c>
      <c r="E32">
        <f>ABS(C32+25.1)</f>
        <v>0.30399999999999849</v>
      </c>
      <c r="F32">
        <v>8.7999999999999995E-2</v>
      </c>
      <c r="G32">
        <f>ABS(F32-0.05)</f>
        <v>3.7999999999999992E-2</v>
      </c>
    </row>
    <row r="33" spans="1:7" x14ac:dyDescent="0.3">
      <c r="A33" t="s">
        <v>22</v>
      </c>
      <c r="B33">
        <v>1272</v>
      </c>
      <c r="C33" s="1">
        <v>-25.367999999999999</v>
      </c>
      <c r="D33">
        <v>0.90500000000000003</v>
      </c>
      <c r="E33">
        <f t="shared" ref="E33:E37" si="5">ABS(C33+25.1)</f>
        <v>0.26799999999999713</v>
      </c>
      <c r="F33">
        <v>7.0999999999999994E-2</v>
      </c>
      <c r="G33">
        <f t="shared" ref="G33:G37" si="6">ABS(F33-0.05)</f>
        <v>2.0999999999999991E-2</v>
      </c>
    </row>
    <row r="34" spans="1:7" x14ac:dyDescent="0.3">
      <c r="A34" t="s">
        <v>23</v>
      </c>
      <c r="B34">
        <v>310</v>
      </c>
      <c r="C34" s="1">
        <v>-25.292000000000002</v>
      </c>
      <c r="D34">
        <v>0.61799999999999999</v>
      </c>
      <c r="E34">
        <f t="shared" si="5"/>
        <v>0.19200000000000017</v>
      </c>
      <c r="F34">
        <v>5.6000000000000001E-2</v>
      </c>
      <c r="G34">
        <f t="shared" si="6"/>
        <v>5.9999999999999984E-3</v>
      </c>
    </row>
    <row r="35" spans="1:7" x14ac:dyDescent="0.3">
      <c r="A35" t="s">
        <v>24</v>
      </c>
      <c r="B35">
        <v>81</v>
      </c>
      <c r="C35" s="1">
        <v>-25.341999999999999</v>
      </c>
      <c r="D35">
        <v>0.47799999999999998</v>
      </c>
      <c r="E35">
        <f t="shared" si="5"/>
        <v>0.24199999999999733</v>
      </c>
      <c r="F35">
        <v>4.4999999999999998E-2</v>
      </c>
      <c r="G35">
        <f t="shared" si="6"/>
        <v>5.0000000000000044E-3</v>
      </c>
    </row>
    <row r="36" spans="1:7" x14ac:dyDescent="0.3">
      <c r="A36" t="s">
        <v>25</v>
      </c>
      <c r="B36">
        <v>52</v>
      </c>
      <c r="C36" s="1">
        <v>-25.347999999999999</v>
      </c>
      <c r="D36">
        <v>0.503</v>
      </c>
      <c r="E36">
        <f t="shared" si="5"/>
        <v>0.24799999999999756</v>
      </c>
      <c r="F36">
        <v>3.5999999999999997E-2</v>
      </c>
      <c r="G36">
        <f t="shared" si="6"/>
        <v>1.4000000000000005E-2</v>
      </c>
    </row>
    <row r="37" spans="1:7" x14ac:dyDescent="0.3">
      <c r="A37" t="s">
        <v>26</v>
      </c>
      <c r="B37">
        <v>18</v>
      </c>
      <c r="C37" s="1">
        <v>-25.457999999999998</v>
      </c>
      <c r="D37">
        <v>0.52300000000000002</v>
      </c>
      <c r="E37">
        <f t="shared" si="5"/>
        <v>0.35799999999999699</v>
      </c>
      <c r="F37">
        <v>4.3999999999999997E-2</v>
      </c>
      <c r="G37">
        <f t="shared" si="6"/>
        <v>6.0000000000000053E-3</v>
      </c>
    </row>
  </sheetData>
  <mergeCells count="5">
    <mergeCell ref="A1:H1"/>
    <mergeCell ref="A8:H8"/>
    <mergeCell ref="A15:H15"/>
    <mergeCell ref="A22:H22"/>
    <mergeCell ref="A30:H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B14" sqref="B14"/>
    </sheetView>
  </sheetViews>
  <sheetFormatPr defaultRowHeight="14.4" x14ac:dyDescent="0.3"/>
  <cols>
    <col min="1" max="1" width="53.88671875" bestFit="1" customWidth="1"/>
    <col min="2" max="2" width="14.33203125" bestFit="1" customWidth="1"/>
    <col min="3" max="3" width="13.21875" bestFit="1" customWidth="1"/>
    <col min="4" max="4" width="8.21875" customWidth="1"/>
    <col min="5" max="5" width="6.6640625" customWidth="1"/>
    <col min="6" max="6" width="7.33203125" customWidth="1"/>
    <col min="7" max="7" width="10.5546875" bestFit="1" customWidth="1"/>
    <col min="8" max="8" width="10" bestFit="1" customWidth="1"/>
  </cols>
  <sheetData>
    <row r="1" spans="1:8" x14ac:dyDescent="0.3">
      <c r="A1" t="s">
        <v>72</v>
      </c>
      <c r="B1" s="7" t="s">
        <v>73</v>
      </c>
      <c r="C1" s="7"/>
      <c r="D1" s="7"/>
      <c r="E1" s="7"/>
      <c r="F1" s="7"/>
      <c r="G1" s="7"/>
      <c r="H1" s="7"/>
    </row>
    <row r="2" spans="1:8" x14ac:dyDescent="0.3">
      <c r="B2" t="s">
        <v>1</v>
      </c>
      <c r="C2" s="1" t="s">
        <v>2</v>
      </c>
      <c r="D2" t="s">
        <v>3</v>
      </c>
      <c r="E2" t="s">
        <v>6</v>
      </c>
      <c r="F2" t="s">
        <v>5</v>
      </c>
      <c r="G2" t="s">
        <v>4</v>
      </c>
      <c r="H2" t="s">
        <v>27</v>
      </c>
    </row>
    <row r="3" spans="1:8" x14ac:dyDescent="0.3">
      <c r="A3" t="s">
        <v>7</v>
      </c>
      <c r="B3">
        <v>401424</v>
      </c>
      <c r="C3">
        <v>1463.20786048024</v>
      </c>
      <c r="D3">
        <v>-20.518999999999998</v>
      </c>
      <c r="F3">
        <v>5.99</v>
      </c>
      <c r="G3">
        <v>0.29899999999999999</v>
      </c>
    </row>
    <row r="4" spans="1:8" x14ac:dyDescent="0.3">
      <c r="A4" t="s">
        <v>74</v>
      </c>
      <c r="B4">
        <v>60</v>
      </c>
      <c r="C4">
        <v>2.0654992649624702</v>
      </c>
      <c r="D4">
        <v>-22.559000000000001</v>
      </c>
    </row>
    <row r="5" spans="1:8" x14ac:dyDescent="0.3">
      <c r="A5" t="s">
        <v>75</v>
      </c>
      <c r="B5">
        <v>51</v>
      </c>
      <c r="C5">
        <v>3.12279232150272</v>
      </c>
      <c r="D5">
        <v>-20.989000000000001</v>
      </c>
      <c r="F5">
        <v>3.7469999999999999</v>
      </c>
      <c r="G5">
        <v>5.2999999999999999E-2</v>
      </c>
    </row>
    <row r="6" spans="1:8" x14ac:dyDescent="0.3">
      <c r="A6" t="s">
        <v>79</v>
      </c>
      <c r="B6">
        <v>69</v>
      </c>
      <c r="C6">
        <v>5.4215025714470597</v>
      </c>
      <c r="D6">
        <v>-20.05</v>
      </c>
      <c r="F6">
        <v>4.6379999999999999</v>
      </c>
      <c r="G6">
        <v>0.153</v>
      </c>
    </row>
    <row r="7" spans="1:8" x14ac:dyDescent="0.3">
      <c r="A7" t="s">
        <v>80</v>
      </c>
      <c r="B7">
        <v>631</v>
      </c>
      <c r="C7">
        <v>51.737885697322398</v>
      </c>
      <c r="D7">
        <v>-20.757000000000001</v>
      </c>
    </row>
    <row r="8" spans="1:8" x14ac:dyDescent="0.3">
      <c r="A8" t="s">
        <v>76</v>
      </c>
      <c r="B8">
        <v>571</v>
      </c>
      <c r="C8">
        <v>9.0063382183195593</v>
      </c>
      <c r="D8">
        <v>-21.626000000000001</v>
      </c>
      <c r="F8">
        <v>18.045000000000002</v>
      </c>
      <c r="G8">
        <v>1.1619999999999999</v>
      </c>
    </row>
    <row r="9" spans="1:8" x14ac:dyDescent="0.3">
      <c r="A9" t="s">
        <v>77</v>
      </c>
      <c r="B9">
        <v>1271</v>
      </c>
      <c r="C9">
        <v>105.49497079587699</v>
      </c>
      <c r="D9">
        <v>-20.454999999999998</v>
      </c>
      <c r="F9">
        <v>20.786000000000001</v>
      </c>
      <c r="G9">
        <v>0.39400000000000002</v>
      </c>
    </row>
    <row r="10" spans="1:8" x14ac:dyDescent="0.3">
      <c r="A10" t="s">
        <v>78</v>
      </c>
      <c r="B10">
        <v>2469</v>
      </c>
      <c r="C10">
        <v>282.80078469795501</v>
      </c>
      <c r="D10">
        <v>-21.831</v>
      </c>
      <c r="F10">
        <v>23.786000000000001</v>
      </c>
      <c r="G10">
        <v>0.36799999999999999</v>
      </c>
    </row>
    <row r="11" spans="1:8" x14ac:dyDescent="0.3">
      <c r="A11" t="s">
        <v>81</v>
      </c>
      <c r="B11">
        <v>24616</v>
      </c>
      <c r="C11">
        <v>2741.0352474573701</v>
      </c>
      <c r="D11">
        <v>-20.327000000000002</v>
      </c>
      <c r="F11">
        <v>24.715</v>
      </c>
      <c r="G11">
        <v>0.14399999999999999</v>
      </c>
    </row>
    <row r="14" spans="1:8" x14ac:dyDescent="0.3">
      <c r="A14" t="s">
        <v>82</v>
      </c>
    </row>
    <row r="15" spans="1:8" x14ac:dyDescent="0.3">
      <c r="B15" t="s">
        <v>1</v>
      </c>
      <c r="C15" s="1" t="s">
        <v>2</v>
      </c>
      <c r="D15" t="s">
        <v>3</v>
      </c>
      <c r="E15" t="s">
        <v>6</v>
      </c>
      <c r="F15" t="s">
        <v>5</v>
      </c>
      <c r="G15" t="s">
        <v>4</v>
      </c>
      <c r="H15" t="s">
        <v>27</v>
      </c>
    </row>
    <row r="16" spans="1:8" x14ac:dyDescent="0.3">
      <c r="B16">
        <v>4411735</v>
      </c>
      <c r="C16">
        <v>12521.6525143652</v>
      </c>
    </row>
  </sheetData>
  <mergeCells count="1">
    <mergeCell ref="B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3"/>
  <sheetViews>
    <sheetView tabSelected="1" topLeftCell="A22" zoomScaleNormal="100" workbookViewId="0">
      <selection activeCell="D27" sqref="D27"/>
    </sheetView>
  </sheetViews>
  <sheetFormatPr defaultRowHeight="14.4" x14ac:dyDescent="0.3"/>
  <cols>
    <col min="1" max="1" width="35.88671875" bestFit="1" customWidth="1"/>
    <col min="2" max="2" width="10" bestFit="1" customWidth="1"/>
    <col min="3" max="3" width="13.5546875" bestFit="1" customWidth="1"/>
    <col min="4" max="5" width="12" bestFit="1" customWidth="1"/>
    <col min="6" max="6" width="10.5546875" bestFit="1" customWidth="1"/>
  </cols>
  <sheetData>
    <row r="1" spans="1:21" x14ac:dyDescent="0.3">
      <c r="B1" t="s">
        <v>13</v>
      </c>
      <c r="C1" t="s">
        <v>14</v>
      </c>
      <c r="D1" t="s">
        <v>3</v>
      </c>
      <c r="E1" t="s">
        <v>5</v>
      </c>
    </row>
    <row r="2" spans="1:21" x14ac:dyDescent="0.3">
      <c r="A2" t="s">
        <v>15</v>
      </c>
      <c r="B2">
        <v>99524</v>
      </c>
      <c r="C2">
        <v>119.10385109134501</v>
      </c>
      <c r="D2">
        <v>0.481279266053386</v>
      </c>
      <c r="E2">
        <v>1.1833026914798099</v>
      </c>
    </row>
    <row r="3" spans="1:21" x14ac:dyDescent="0.3">
      <c r="A3" t="s">
        <v>16</v>
      </c>
      <c r="B3">
        <v>8189</v>
      </c>
      <c r="C3">
        <v>89.542366505026806</v>
      </c>
      <c r="D3">
        <v>0.51054874673100403</v>
      </c>
      <c r="E3">
        <v>1.2080635020841599</v>
      </c>
    </row>
    <row r="4" spans="1:21" x14ac:dyDescent="0.3">
      <c r="A4" t="s">
        <v>17</v>
      </c>
      <c r="B4">
        <v>15476</v>
      </c>
      <c r="C4">
        <v>207.42588082128401</v>
      </c>
      <c r="D4">
        <v>0.49927538927745002</v>
      </c>
      <c r="E4">
        <v>1.2983254730582701</v>
      </c>
    </row>
    <row r="5" spans="1:21" x14ac:dyDescent="0.3">
      <c r="A5" t="s">
        <v>18</v>
      </c>
      <c r="B5">
        <v>2483</v>
      </c>
      <c r="C5">
        <v>53.189922722370497</v>
      </c>
      <c r="D5">
        <v>0.50107502966055795</v>
      </c>
      <c r="E5">
        <v>1.32618948653409</v>
      </c>
    </row>
    <row r="6" spans="1:21" x14ac:dyDescent="0.3">
      <c r="A6" t="s">
        <v>19</v>
      </c>
      <c r="B6">
        <v>92693</v>
      </c>
      <c r="C6">
        <v>1724.6049548318999</v>
      </c>
      <c r="D6">
        <v>0.62554784583564405</v>
      </c>
      <c r="E6">
        <v>4.3940362031980804</v>
      </c>
    </row>
    <row r="8" spans="1:21" x14ac:dyDescent="0.3">
      <c r="B8" s="7" t="s">
        <v>33</v>
      </c>
      <c r="C8" s="7"/>
      <c r="D8" s="7"/>
      <c r="E8" s="7"/>
      <c r="F8" s="7" t="s">
        <v>34</v>
      </c>
      <c r="G8" s="7"/>
      <c r="H8" s="7"/>
      <c r="I8" s="7"/>
      <c r="J8" s="7" t="s">
        <v>35</v>
      </c>
      <c r="K8" s="7"/>
      <c r="L8" s="7"/>
      <c r="M8" s="7"/>
      <c r="N8" s="7" t="s">
        <v>36</v>
      </c>
      <c r="O8" s="7"/>
      <c r="P8" s="7"/>
      <c r="Q8" s="7"/>
      <c r="R8" s="7" t="s">
        <v>43</v>
      </c>
      <c r="S8" s="7"/>
      <c r="T8" s="7"/>
      <c r="U8" s="7"/>
    </row>
    <row r="9" spans="1:21" x14ac:dyDescent="0.3">
      <c r="B9" t="s">
        <v>40</v>
      </c>
      <c r="C9" t="s">
        <v>5</v>
      </c>
      <c r="D9" t="s">
        <v>6</v>
      </c>
      <c r="E9" t="s">
        <v>41</v>
      </c>
      <c r="F9" t="s">
        <v>40</v>
      </c>
      <c r="G9" t="s">
        <v>5</v>
      </c>
      <c r="H9" t="s">
        <v>6</v>
      </c>
      <c r="I9" t="s">
        <v>41</v>
      </c>
      <c r="J9" t="s">
        <v>40</v>
      </c>
      <c r="K9" t="s">
        <v>5</v>
      </c>
      <c r="L9" t="s">
        <v>6</v>
      </c>
      <c r="M9" t="s">
        <v>41</v>
      </c>
      <c r="N9" t="s">
        <v>40</v>
      </c>
      <c r="O9" t="s">
        <v>5</v>
      </c>
      <c r="P9" t="s">
        <v>6</v>
      </c>
      <c r="Q9" t="s">
        <v>41</v>
      </c>
      <c r="R9" t="s">
        <v>40</v>
      </c>
      <c r="S9" t="s">
        <v>5</v>
      </c>
      <c r="T9" t="s">
        <v>6</v>
      </c>
      <c r="U9" t="s">
        <v>41</v>
      </c>
    </row>
    <row r="10" spans="1:21" x14ac:dyDescent="0.3">
      <c r="A10" t="s">
        <v>32</v>
      </c>
      <c r="B10">
        <v>-25.236999999999998</v>
      </c>
      <c r="C10">
        <v>0.44700000000000001</v>
      </c>
      <c r="D10">
        <f>ABS(B10+25.1)</f>
        <v>0.1369999999999969</v>
      </c>
      <c r="E10">
        <v>4.1000000000000002E-2</v>
      </c>
      <c r="F10">
        <v>-25.35</v>
      </c>
      <c r="G10">
        <v>0.63500000000000001</v>
      </c>
      <c r="H10">
        <f>ABS(F10+25.1)</f>
        <v>0.25</v>
      </c>
      <c r="I10">
        <v>9.7000000000000003E-2</v>
      </c>
      <c r="J10">
        <v>-25.335999999999999</v>
      </c>
      <c r="K10">
        <v>0.53500000000000003</v>
      </c>
      <c r="L10">
        <f>ABS(J10+25.1)</f>
        <v>0.2359999999999971</v>
      </c>
      <c r="M10">
        <v>7.6999999999999999E-2</v>
      </c>
      <c r="N10">
        <v>-25.349</v>
      </c>
      <c r="O10">
        <v>0.55300000000000005</v>
      </c>
      <c r="P10">
        <f>ABS(N10+25.1)</f>
        <v>0.24899999999999878</v>
      </c>
      <c r="Q10">
        <v>7.0000000000000007E-2</v>
      </c>
      <c r="R10">
        <v>-25.332999999999998</v>
      </c>
      <c r="S10">
        <v>0.59199999999999997</v>
      </c>
      <c r="T10">
        <f>ABS(R10+25.1)</f>
        <v>0.23299999999999699</v>
      </c>
      <c r="U10">
        <v>5.2999999999999999E-2</v>
      </c>
    </row>
    <row r="11" spans="1:21" x14ac:dyDescent="0.3">
      <c r="A11" t="s">
        <v>37</v>
      </c>
      <c r="B11">
        <v>4.71</v>
      </c>
      <c r="C11">
        <v>0.45</v>
      </c>
      <c r="D11">
        <f t="shared" ref="D11" si="0">ABS(B11-4.78)</f>
        <v>7.0000000000000284E-2</v>
      </c>
      <c r="E11">
        <v>8.3000000000000004E-2</v>
      </c>
      <c r="F11">
        <v>4.8520000000000003</v>
      </c>
      <c r="G11">
        <v>0.50700000000000001</v>
      </c>
      <c r="H11">
        <f t="shared" ref="H11" si="1">ABS(F11-4.78)</f>
        <v>7.2000000000000064E-2</v>
      </c>
      <c r="I11">
        <v>0.104</v>
      </c>
      <c r="J11">
        <v>4.7439999999999998</v>
      </c>
      <c r="K11">
        <v>0.59799999999999998</v>
      </c>
      <c r="L11">
        <f t="shared" ref="L11" si="2">ABS(J11-4.78)</f>
        <v>3.6000000000000476E-2</v>
      </c>
      <c r="M11">
        <v>0.104</v>
      </c>
      <c r="N11">
        <v>4.734</v>
      </c>
      <c r="O11">
        <v>0.61499999999999999</v>
      </c>
      <c r="P11">
        <f t="shared" ref="P11" si="3">ABS(N11-4.78)</f>
        <v>4.6000000000000263E-2</v>
      </c>
      <c r="Q11">
        <v>0.104</v>
      </c>
      <c r="R11">
        <v>4.7130000000000001</v>
      </c>
      <c r="S11">
        <v>0.58099999999999996</v>
      </c>
      <c r="T11">
        <f t="shared" ref="T11" si="4">ABS(R11-4.78)</f>
        <v>6.7000000000000171E-2</v>
      </c>
      <c r="U11">
        <v>9.4E-2</v>
      </c>
    </row>
    <row r="12" spans="1:21" x14ac:dyDescent="0.3">
      <c r="A12" t="s">
        <v>38</v>
      </c>
      <c r="B12">
        <v>44.15</v>
      </c>
      <c r="C12">
        <v>0.51200000000000001</v>
      </c>
      <c r="D12">
        <f>ABS(B12-44.39)</f>
        <v>0.24000000000000199</v>
      </c>
      <c r="E12">
        <v>0.106</v>
      </c>
      <c r="F12">
        <v>44.365000000000002</v>
      </c>
      <c r="G12">
        <v>0.60399999999999998</v>
      </c>
      <c r="H12">
        <f>ABS(F12-44.39)</f>
        <v>2.4999999999998579E-2</v>
      </c>
      <c r="I12">
        <v>0.111</v>
      </c>
      <c r="J12">
        <v>44.220999999999997</v>
      </c>
      <c r="K12">
        <v>0.61599999999999999</v>
      </c>
      <c r="L12">
        <f>ABS(J12-44.39)</f>
        <v>0.16900000000000404</v>
      </c>
      <c r="M12">
        <v>0.13</v>
      </c>
      <c r="N12">
        <v>44.268999999999998</v>
      </c>
      <c r="O12">
        <v>0.67900000000000005</v>
      </c>
      <c r="P12">
        <f>ABS(N12-44.39)</f>
        <v>0.12100000000000222</v>
      </c>
      <c r="Q12">
        <v>0.126</v>
      </c>
      <c r="R12">
        <v>44.238</v>
      </c>
      <c r="S12">
        <v>0.70599999999999996</v>
      </c>
      <c r="T12">
        <f>ABS(R12-44.39)</f>
        <v>0.15200000000000102</v>
      </c>
      <c r="U12">
        <v>0.11799999999999999</v>
      </c>
    </row>
    <row r="13" spans="1:21" x14ac:dyDescent="0.3">
      <c r="A13" t="s">
        <v>42</v>
      </c>
      <c r="B13">
        <v>-30.172999999999998</v>
      </c>
      <c r="C13">
        <v>0.46100000000000002</v>
      </c>
      <c r="D13">
        <f>ABS(B13+29.43)</f>
        <v>0.74299999999999855</v>
      </c>
      <c r="E13">
        <v>0.17100000000000001</v>
      </c>
      <c r="F13">
        <v>-30.013000000000002</v>
      </c>
      <c r="G13">
        <v>0.48599999999999999</v>
      </c>
      <c r="H13">
        <f>ABS(F13+29.43)</f>
        <v>0.58300000000000196</v>
      </c>
      <c r="I13">
        <v>0.14000000000000001</v>
      </c>
      <c r="J13">
        <v>-30.181999999999999</v>
      </c>
      <c r="K13">
        <v>0.47399999999999998</v>
      </c>
      <c r="L13">
        <f>ABS(J13+29.43)</f>
        <v>0.75199999999999889</v>
      </c>
      <c r="M13">
        <v>0.17299999999999999</v>
      </c>
      <c r="N13">
        <v>-30.225999999999999</v>
      </c>
      <c r="O13">
        <v>0.51300000000000001</v>
      </c>
      <c r="P13">
        <f>ABS(N13+29.43)</f>
        <v>0.79599999999999937</v>
      </c>
      <c r="Q13">
        <v>0.185</v>
      </c>
      <c r="R13">
        <v>-30.233000000000001</v>
      </c>
      <c r="S13">
        <v>0.51500000000000001</v>
      </c>
      <c r="T13">
        <f>ABS(R13+29.43)</f>
        <v>0.80300000000000082</v>
      </c>
      <c r="U13">
        <v>0.18</v>
      </c>
    </row>
    <row r="14" spans="1:21" x14ac:dyDescent="0.3">
      <c r="A14" t="s">
        <v>39</v>
      </c>
      <c r="B14">
        <v>20.364999999999998</v>
      </c>
      <c r="C14">
        <v>0.436</v>
      </c>
      <c r="D14">
        <f>ABS(B14-19.86)</f>
        <v>0.50499999999999901</v>
      </c>
      <c r="E14">
        <v>3.3000000000000002E-2</v>
      </c>
      <c r="F14">
        <v>16.565000000000001</v>
      </c>
      <c r="G14">
        <v>2.1480000000000001</v>
      </c>
      <c r="H14">
        <f>ABS(F14-19.86)</f>
        <v>3.2949999999999982</v>
      </c>
      <c r="I14">
        <v>0.21299999999999999</v>
      </c>
      <c r="J14">
        <v>20.385000000000002</v>
      </c>
      <c r="K14">
        <v>0.43099999999999999</v>
      </c>
      <c r="L14">
        <f>ABS(J14-19.86)</f>
        <v>0.52500000000000213</v>
      </c>
      <c r="M14">
        <v>3.2000000000000001E-2</v>
      </c>
      <c r="N14">
        <v>20.361000000000001</v>
      </c>
      <c r="O14">
        <v>0.437</v>
      </c>
      <c r="P14">
        <f>ABS(N14-19.86)</f>
        <v>0.50100000000000122</v>
      </c>
      <c r="Q14">
        <v>3.7999999999999999E-2</v>
      </c>
      <c r="R14">
        <v>19.004999999999999</v>
      </c>
      <c r="S14">
        <v>1.2450000000000001</v>
      </c>
      <c r="T14">
        <f>ABS(R14-19.86)</f>
        <v>0.85500000000000043</v>
      </c>
      <c r="U14">
        <v>0.16</v>
      </c>
    </row>
    <row r="15" spans="1:21" x14ac:dyDescent="0.3">
      <c r="D15">
        <f>AVERAGE(D10:D14)</f>
        <v>0.33899999999999936</v>
      </c>
      <c r="H15">
        <f>AVERAGE(H10:H14)</f>
        <v>0.84499999999999975</v>
      </c>
      <c r="L15">
        <f>AVERAGE(L10:L14)</f>
        <v>0.34360000000000052</v>
      </c>
      <c r="P15">
        <f>AVERAGE(P10:P14)</f>
        <v>0.34260000000000035</v>
      </c>
      <c r="T15">
        <f>AVERAGE(T10:T14)</f>
        <v>0.42199999999999988</v>
      </c>
    </row>
    <row r="17" spans="1:8" ht="15" thickBot="1" x14ac:dyDescent="0.35"/>
    <row r="18" spans="1:8" ht="16.2" thickBot="1" x14ac:dyDescent="0.35">
      <c r="A18" s="2" t="s">
        <v>44</v>
      </c>
      <c r="B18" s="3" t="s">
        <v>45</v>
      </c>
      <c r="C18" s="3" t="s">
        <v>46</v>
      </c>
      <c r="D18" s="3" t="s">
        <v>47</v>
      </c>
      <c r="E18" s="3" t="s">
        <v>48</v>
      </c>
      <c r="F18" s="3" t="s">
        <v>49</v>
      </c>
      <c r="G18" s="3" t="s">
        <v>50</v>
      </c>
      <c r="H18" s="3" t="s">
        <v>51</v>
      </c>
    </row>
    <row r="19" spans="1:8" ht="31.8" thickBot="1" x14ac:dyDescent="0.35">
      <c r="A19" s="4" t="s">
        <v>29</v>
      </c>
      <c r="B19" s="5" t="s">
        <v>52</v>
      </c>
      <c r="C19" s="6" t="s">
        <v>53</v>
      </c>
      <c r="D19" s="6" t="s">
        <v>54</v>
      </c>
      <c r="E19" s="6" t="s">
        <v>55</v>
      </c>
      <c r="F19" s="6" t="s">
        <v>70</v>
      </c>
      <c r="G19" s="6" t="s">
        <v>56</v>
      </c>
      <c r="H19" s="6" t="s">
        <v>57</v>
      </c>
    </row>
    <row r="20" spans="1:8" ht="31.8" thickBot="1" x14ac:dyDescent="0.35">
      <c r="A20" s="4" t="s">
        <v>22</v>
      </c>
      <c r="B20" s="6" t="s">
        <v>58</v>
      </c>
      <c r="C20" s="6">
        <v>0.42499999999999999</v>
      </c>
      <c r="D20" s="5" t="s">
        <v>59</v>
      </c>
      <c r="E20" s="6">
        <v>0.40300000000000002</v>
      </c>
      <c r="F20" s="6">
        <v>0.42799999999999999</v>
      </c>
      <c r="G20" s="6">
        <v>0.41199999999999998</v>
      </c>
      <c r="H20" s="6">
        <v>0.42199999999999999</v>
      </c>
    </row>
    <row r="21" spans="1:8" ht="31.8" thickBot="1" x14ac:dyDescent="0.35">
      <c r="A21" s="4" t="s">
        <v>23</v>
      </c>
      <c r="B21" s="5" t="s">
        <v>60</v>
      </c>
      <c r="C21" s="6">
        <v>0.41399999999999998</v>
      </c>
      <c r="D21" s="6">
        <v>0.50600000000000001</v>
      </c>
      <c r="E21" s="6">
        <v>0.501</v>
      </c>
      <c r="F21" s="6">
        <v>0.41199999999999998</v>
      </c>
      <c r="G21" s="6">
        <v>0.47499999999999998</v>
      </c>
      <c r="H21" s="6">
        <v>0.42799999999999999</v>
      </c>
    </row>
    <row r="24" spans="1:8" ht="15" thickBot="1" x14ac:dyDescent="0.35"/>
    <row r="25" spans="1:8" ht="16.2" thickBot="1" x14ac:dyDescent="0.35">
      <c r="A25" s="2" t="s">
        <v>44</v>
      </c>
      <c r="B25" s="3" t="s">
        <v>45</v>
      </c>
      <c r="C25" s="3" t="s">
        <v>46</v>
      </c>
      <c r="D25" s="3" t="s">
        <v>47</v>
      </c>
      <c r="E25" s="3" t="s">
        <v>48</v>
      </c>
      <c r="F25" s="3" t="s">
        <v>49</v>
      </c>
      <c r="G25" s="3" t="s">
        <v>50</v>
      </c>
      <c r="H25" s="3" t="s">
        <v>51</v>
      </c>
    </row>
    <row r="26" spans="1:8" ht="31.8" thickBot="1" x14ac:dyDescent="0.35">
      <c r="A26" s="4" t="s">
        <v>29</v>
      </c>
      <c r="B26" s="5" t="s">
        <v>61</v>
      </c>
      <c r="C26" s="6" t="s">
        <v>62</v>
      </c>
      <c r="D26" s="6" t="s">
        <v>63</v>
      </c>
      <c r="E26" s="6" t="s">
        <v>64</v>
      </c>
      <c r="F26" s="6" t="s">
        <v>71</v>
      </c>
      <c r="G26" s="6" t="s">
        <v>65</v>
      </c>
      <c r="H26" s="6" t="s">
        <v>66</v>
      </c>
    </row>
    <row r="27" spans="1:8" ht="31.8" thickBot="1" x14ac:dyDescent="0.35">
      <c r="A27" s="4" t="s">
        <v>22</v>
      </c>
      <c r="B27" s="6" t="s">
        <v>67</v>
      </c>
      <c r="C27" s="5" t="s">
        <v>68</v>
      </c>
      <c r="D27" s="6">
        <v>7.43</v>
      </c>
      <c r="E27" s="6">
        <v>7.2770000000000001</v>
      </c>
      <c r="F27" s="6">
        <v>7.359</v>
      </c>
      <c r="G27" s="6">
        <v>7.33</v>
      </c>
      <c r="H27" s="6">
        <v>7.28</v>
      </c>
    </row>
    <row r="28" spans="1:8" ht="16.2" thickBot="1" x14ac:dyDescent="0.35">
      <c r="A28" s="4" t="s">
        <v>23</v>
      </c>
      <c r="B28" s="6">
        <v>5.5129999999999999</v>
      </c>
      <c r="C28" s="5" t="s">
        <v>69</v>
      </c>
      <c r="D28" s="6">
        <v>9.6859999999999999</v>
      </c>
      <c r="E28" s="6">
        <v>7.7789999999999999</v>
      </c>
      <c r="F28" s="6">
        <v>7.5309999999999997</v>
      </c>
      <c r="G28" s="6">
        <v>9.673</v>
      </c>
      <c r="H28" s="6">
        <v>6.9720000000000004</v>
      </c>
    </row>
    <row r="30" spans="1:8" x14ac:dyDescent="0.3">
      <c r="A30" s="11" t="s">
        <v>83</v>
      </c>
      <c r="B30" s="11"/>
      <c r="C30" s="11"/>
      <c r="D30" s="11"/>
      <c r="E30" s="11"/>
      <c r="F30" s="11"/>
    </row>
    <row r="31" spans="1:8" x14ac:dyDescent="0.3">
      <c r="A31" s="8"/>
      <c r="B31" s="10" t="s">
        <v>33</v>
      </c>
      <c r="C31" s="10" t="s">
        <v>34</v>
      </c>
      <c r="D31" s="10" t="s">
        <v>35</v>
      </c>
      <c r="E31" s="10" t="s">
        <v>36</v>
      </c>
      <c r="F31" s="10" t="s">
        <v>43</v>
      </c>
    </row>
    <row r="32" spans="1:8" x14ac:dyDescent="0.3">
      <c r="A32" s="10" t="s">
        <v>40</v>
      </c>
      <c r="B32" s="9">
        <v>0.38198323465788098</v>
      </c>
      <c r="C32" s="8">
        <v>0.52396110816553698</v>
      </c>
      <c r="D32" s="8">
        <v>0.38584372389000998</v>
      </c>
      <c r="E32" s="8">
        <v>0.38935786266749201</v>
      </c>
      <c r="F32" s="8">
        <v>0.42166853516975999</v>
      </c>
    </row>
    <row r="33" spans="1:6" x14ac:dyDescent="0.3">
      <c r="A33" s="10" t="s">
        <v>5</v>
      </c>
      <c r="B33" s="9">
        <v>0.67839121447539297</v>
      </c>
      <c r="C33" s="8">
        <v>0.99988565029165999</v>
      </c>
      <c r="D33" s="8">
        <v>0.73670018727080799</v>
      </c>
      <c r="E33" s="8">
        <v>0.75415818552490999</v>
      </c>
      <c r="F33" s="8">
        <v>0.79596946721085604</v>
      </c>
    </row>
  </sheetData>
  <mergeCells count="6">
    <mergeCell ref="A30:F30"/>
    <mergeCell ref="R8:U8"/>
    <mergeCell ref="N8:Q8"/>
    <mergeCell ref="J8:M8"/>
    <mergeCell ref="F8:I8"/>
    <mergeCell ref="B8:E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opLeftCell="A16" workbookViewId="0">
      <selection activeCell="E32" sqref="E32"/>
    </sheetView>
  </sheetViews>
  <sheetFormatPr defaultRowHeight="14.4" x14ac:dyDescent="0.3"/>
  <cols>
    <col min="1" max="1" width="18.21875" bestFit="1" customWidth="1"/>
    <col min="2" max="2" width="14.33203125" bestFit="1" customWidth="1"/>
    <col min="3" max="3" width="13.21875" bestFit="1" customWidth="1"/>
    <col min="4" max="4" width="7.6640625" bestFit="1" customWidth="1"/>
    <col min="5" max="5" width="8.109375" bestFit="1" customWidth="1"/>
    <col min="6" max="7" width="10.5546875" bestFit="1" customWidth="1"/>
    <col min="8" max="8" width="10" bestFit="1" customWidth="1"/>
  </cols>
  <sheetData>
    <row r="1" spans="1:8" x14ac:dyDescent="0.3">
      <c r="A1" s="7" t="s">
        <v>7</v>
      </c>
      <c r="B1" s="7"/>
      <c r="C1" s="7"/>
      <c r="D1" s="7"/>
      <c r="E1" s="7"/>
      <c r="F1" s="7"/>
      <c r="G1" s="7"/>
    </row>
    <row r="2" spans="1:8" x14ac:dyDescent="0.3">
      <c r="A2" t="s">
        <v>0</v>
      </c>
      <c r="B2" t="s">
        <v>1</v>
      </c>
      <c r="C2" t="s">
        <v>2</v>
      </c>
      <c r="D2" t="s">
        <v>3</v>
      </c>
      <c r="E2" t="s">
        <v>6</v>
      </c>
      <c r="F2" t="s">
        <v>5</v>
      </c>
      <c r="G2" t="s">
        <v>4</v>
      </c>
      <c r="H2" t="s">
        <v>27</v>
      </c>
    </row>
    <row r="3" spans="1:8" x14ac:dyDescent="0.3">
      <c r="A3">
        <v>3</v>
      </c>
      <c r="B3">
        <v>35</v>
      </c>
      <c r="C3">
        <v>0.11572814506845799</v>
      </c>
      <c r="D3">
        <v>4.492</v>
      </c>
      <c r="E3">
        <f>ABS(D3-4.78)</f>
        <v>0.28800000000000026</v>
      </c>
      <c r="F3">
        <v>1.1279999999999999</v>
      </c>
      <c r="G3">
        <v>8.3000000000000004E-2</v>
      </c>
      <c r="H3">
        <f>ABS(G3-0.05)</f>
        <v>3.3000000000000002E-2</v>
      </c>
    </row>
    <row r="4" spans="1:8" x14ac:dyDescent="0.3">
      <c r="A4">
        <v>4</v>
      </c>
      <c r="B4">
        <v>1939</v>
      </c>
      <c r="C4">
        <v>3.1435340383166901</v>
      </c>
      <c r="D4">
        <v>4.7009999999999996</v>
      </c>
      <c r="E4">
        <f t="shared" ref="E4:E6" si="0">ABS(D4-4.78)</f>
        <v>7.9000000000000625E-2</v>
      </c>
      <c r="F4">
        <v>1.004</v>
      </c>
      <c r="G4">
        <v>0.10199999999999999</v>
      </c>
      <c r="H4">
        <f t="shared" ref="H4:H6" si="1">ABS(G4-0.05)</f>
        <v>5.1999999999999991E-2</v>
      </c>
    </row>
    <row r="5" spans="1:8" x14ac:dyDescent="0.3">
      <c r="A5">
        <v>5</v>
      </c>
      <c r="B5">
        <v>42140</v>
      </c>
      <c r="C5">
        <v>110.741252184979</v>
      </c>
      <c r="D5">
        <v>4.6550000000000002</v>
      </c>
      <c r="E5">
        <f t="shared" si="0"/>
        <v>0.125</v>
      </c>
      <c r="F5">
        <v>1.478</v>
      </c>
      <c r="G5">
        <v>9.0999999999999998E-2</v>
      </c>
      <c r="H5">
        <f t="shared" si="1"/>
        <v>4.0999999999999995E-2</v>
      </c>
    </row>
    <row r="6" spans="1:8" x14ac:dyDescent="0.3">
      <c r="A6">
        <v>6</v>
      </c>
      <c r="B6">
        <v>869986</v>
      </c>
      <c r="C6">
        <v>1786.0424012436399</v>
      </c>
      <c r="D6">
        <v>4.6779999999999999</v>
      </c>
      <c r="E6">
        <f t="shared" si="0"/>
        <v>0.10200000000000031</v>
      </c>
      <c r="F6">
        <v>1.663</v>
      </c>
      <c r="G6">
        <v>9.5000000000000001E-2</v>
      </c>
      <c r="H6">
        <f t="shared" si="1"/>
        <v>4.4999999999999998E-2</v>
      </c>
    </row>
    <row r="8" spans="1:8" x14ac:dyDescent="0.3">
      <c r="A8" s="7" t="s">
        <v>9</v>
      </c>
      <c r="B8" s="7"/>
      <c r="C8" s="7"/>
      <c r="D8" s="7"/>
      <c r="E8" s="7"/>
      <c r="F8" s="7"/>
      <c r="G8" s="7"/>
    </row>
    <row r="9" spans="1:8" x14ac:dyDescent="0.3">
      <c r="A9" t="s">
        <v>0</v>
      </c>
      <c r="B9" t="s">
        <v>1</v>
      </c>
      <c r="C9" t="s">
        <v>2</v>
      </c>
      <c r="D9" t="s">
        <v>3</v>
      </c>
      <c r="E9" t="s">
        <v>6</v>
      </c>
      <c r="F9" t="s">
        <v>5</v>
      </c>
      <c r="G9" t="s">
        <v>4</v>
      </c>
      <c r="H9" t="s">
        <v>27</v>
      </c>
    </row>
    <row r="10" spans="1:8" x14ac:dyDescent="0.3">
      <c r="A10">
        <v>3</v>
      </c>
      <c r="B10">
        <v>23</v>
      </c>
      <c r="C10">
        <v>0.196951765432235</v>
      </c>
      <c r="D10">
        <v>4.6390000000000002</v>
      </c>
      <c r="E10">
        <f t="shared" ref="E10:E13" si="2">ABS(D10-4.78)</f>
        <v>0.14100000000000001</v>
      </c>
      <c r="F10">
        <v>0.63100000000000001</v>
      </c>
      <c r="G10">
        <v>6.0999999999999999E-2</v>
      </c>
      <c r="H10">
        <f t="shared" ref="H10:H13" si="3">ABS(G10-0.05)</f>
        <v>1.0999999999999996E-2</v>
      </c>
    </row>
    <row r="11" spans="1:8" x14ac:dyDescent="0.3">
      <c r="A11">
        <v>4</v>
      </c>
      <c r="B11">
        <v>177</v>
      </c>
      <c r="C11">
        <v>0.91165101586765196</v>
      </c>
      <c r="D11">
        <v>4.7779999999999996</v>
      </c>
      <c r="E11">
        <f t="shared" si="2"/>
        <v>2.0000000000006679E-3</v>
      </c>
      <c r="F11">
        <v>1.026</v>
      </c>
      <c r="G11">
        <v>8.7999999999999995E-2</v>
      </c>
      <c r="H11">
        <f t="shared" si="3"/>
        <v>3.7999999999999992E-2</v>
      </c>
    </row>
    <row r="12" spans="1:8" x14ac:dyDescent="0.3">
      <c r="A12">
        <v>5</v>
      </c>
      <c r="B12">
        <v>277</v>
      </c>
      <c r="C12">
        <v>2.1521961910687</v>
      </c>
      <c r="D12">
        <v>4.6289999999999996</v>
      </c>
      <c r="E12">
        <f t="shared" si="2"/>
        <v>0.15100000000000069</v>
      </c>
      <c r="F12">
        <v>1.413</v>
      </c>
      <c r="G12">
        <v>0.105</v>
      </c>
      <c r="H12">
        <f t="shared" si="3"/>
        <v>5.4999999999999993E-2</v>
      </c>
    </row>
    <row r="13" spans="1:8" x14ac:dyDescent="0.3">
      <c r="A13">
        <v>6</v>
      </c>
      <c r="B13">
        <v>398</v>
      </c>
      <c r="C13">
        <v>4.5971733820095002</v>
      </c>
      <c r="D13">
        <v>4.72</v>
      </c>
      <c r="E13">
        <f t="shared" si="2"/>
        <v>6.0000000000000497E-2</v>
      </c>
      <c r="F13">
        <v>1.1639999999999999</v>
      </c>
      <c r="G13">
        <v>0.105</v>
      </c>
      <c r="H13">
        <f t="shared" si="3"/>
        <v>5.4999999999999993E-2</v>
      </c>
    </row>
    <row r="15" spans="1:8" x14ac:dyDescent="0.3">
      <c r="A15" s="7" t="s">
        <v>10</v>
      </c>
      <c r="B15" s="7"/>
      <c r="C15" s="7"/>
      <c r="D15" s="7"/>
      <c r="E15" s="7"/>
      <c r="F15" s="7"/>
      <c r="G15" s="7"/>
    </row>
    <row r="16" spans="1:8" x14ac:dyDescent="0.3">
      <c r="A16" t="s">
        <v>0</v>
      </c>
      <c r="B16" t="s">
        <v>1</v>
      </c>
      <c r="C16" t="s">
        <v>2</v>
      </c>
      <c r="D16" t="s">
        <v>3</v>
      </c>
      <c r="E16" t="s">
        <v>6</v>
      </c>
      <c r="F16" t="s">
        <v>5</v>
      </c>
      <c r="G16" t="s">
        <v>4</v>
      </c>
    </row>
    <row r="17" spans="1:7" x14ac:dyDescent="0.3">
      <c r="A17">
        <v>3</v>
      </c>
      <c r="E17">
        <f t="shared" ref="E17:E18" si="4">ABS(D17-4.78)</f>
        <v>4.78</v>
      </c>
    </row>
    <row r="18" spans="1:7" x14ac:dyDescent="0.3">
      <c r="A18">
        <v>4</v>
      </c>
      <c r="E18">
        <f t="shared" si="4"/>
        <v>4.78</v>
      </c>
    </row>
    <row r="19" spans="1:7" x14ac:dyDescent="0.3">
      <c r="A19">
        <v>5</v>
      </c>
      <c r="B19" t="s">
        <v>11</v>
      </c>
      <c r="C19" t="s">
        <v>11</v>
      </c>
      <c r="D19" t="s">
        <v>11</v>
      </c>
      <c r="E19" t="s">
        <v>11</v>
      </c>
      <c r="F19" t="s">
        <v>11</v>
      </c>
      <c r="G19" t="s">
        <v>11</v>
      </c>
    </row>
    <row r="20" spans="1:7" x14ac:dyDescent="0.3">
      <c r="A20">
        <v>6</v>
      </c>
      <c r="B20" t="s">
        <v>11</v>
      </c>
      <c r="C20" t="s">
        <v>11</v>
      </c>
      <c r="D20" t="s">
        <v>11</v>
      </c>
      <c r="E20" t="s">
        <v>11</v>
      </c>
      <c r="F20" t="s">
        <v>11</v>
      </c>
      <c r="G20" t="s">
        <v>11</v>
      </c>
    </row>
    <row r="22" spans="1:7" x14ac:dyDescent="0.3">
      <c r="A22" s="7" t="s">
        <v>12</v>
      </c>
      <c r="B22" s="7"/>
      <c r="C22" s="7"/>
      <c r="D22" s="7"/>
      <c r="E22" s="7"/>
      <c r="F22" s="7"/>
      <c r="G22" s="7"/>
    </row>
    <row r="23" spans="1:7" x14ac:dyDescent="0.3">
      <c r="A23" t="s">
        <v>0</v>
      </c>
      <c r="B23" t="s">
        <v>1</v>
      </c>
      <c r="C23" t="s">
        <v>2</v>
      </c>
      <c r="D23" t="s">
        <v>3</v>
      </c>
      <c r="E23" t="s">
        <v>6</v>
      </c>
      <c r="F23" t="s">
        <v>5</v>
      </c>
      <c r="G23" t="s">
        <v>4</v>
      </c>
    </row>
    <row r="24" spans="1:7" x14ac:dyDescent="0.3">
      <c r="A24">
        <v>3</v>
      </c>
      <c r="E24">
        <f t="shared" ref="E24:E27" si="5">ABS(D24-4.78)</f>
        <v>4.78</v>
      </c>
    </row>
    <row r="25" spans="1:7" x14ac:dyDescent="0.3">
      <c r="A25">
        <v>4</v>
      </c>
      <c r="E25">
        <f t="shared" si="5"/>
        <v>4.78</v>
      </c>
    </row>
    <row r="26" spans="1:7" x14ac:dyDescent="0.3">
      <c r="A26">
        <v>5</v>
      </c>
      <c r="E26">
        <f t="shared" si="5"/>
        <v>4.78</v>
      </c>
    </row>
    <row r="27" spans="1:7" x14ac:dyDescent="0.3">
      <c r="A27">
        <v>6</v>
      </c>
      <c r="E27">
        <f t="shared" si="5"/>
        <v>4.78</v>
      </c>
    </row>
    <row r="29" spans="1:7" x14ac:dyDescent="0.3">
      <c r="A29" s="7" t="s">
        <v>20</v>
      </c>
      <c r="B29" s="7"/>
      <c r="C29" s="7"/>
      <c r="D29" s="7"/>
      <c r="E29" s="7"/>
      <c r="F29" s="7"/>
      <c r="G29" s="7"/>
    </row>
    <row r="30" spans="1:7" x14ac:dyDescent="0.3">
      <c r="B30" t="s">
        <v>13</v>
      </c>
      <c r="C30" t="s">
        <v>3</v>
      </c>
      <c r="D30" t="s">
        <v>5</v>
      </c>
      <c r="E30" t="s">
        <v>6</v>
      </c>
      <c r="F30" t="s">
        <v>4</v>
      </c>
      <c r="G30" t="s">
        <v>27</v>
      </c>
    </row>
    <row r="31" spans="1:7" x14ac:dyDescent="0.3">
      <c r="A31" t="s">
        <v>21</v>
      </c>
      <c r="B31">
        <v>1939</v>
      </c>
      <c r="C31">
        <v>4.7009999999999996</v>
      </c>
      <c r="D31">
        <v>1.004</v>
      </c>
      <c r="E31">
        <f>ABS(C31-4.78)</f>
        <v>7.9000000000000625E-2</v>
      </c>
      <c r="F31">
        <v>0.10199999999999999</v>
      </c>
      <c r="G31">
        <f>ABS(F31-0.05)</f>
        <v>5.1999999999999991E-2</v>
      </c>
    </row>
    <row r="32" spans="1:7" x14ac:dyDescent="0.3">
      <c r="A32" t="s">
        <v>22</v>
      </c>
      <c r="B32">
        <v>1640</v>
      </c>
      <c r="C32">
        <v>4.7469999999999999</v>
      </c>
      <c r="D32">
        <v>1.024</v>
      </c>
      <c r="E32">
        <f t="shared" ref="E32:E36" si="6">ABS(C32-4.78)</f>
        <v>3.3000000000000362E-2</v>
      </c>
      <c r="F32">
        <v>8.2000000000000003E-2</v>
      </c>
      <c r="G32">
        <f t="shared" ref="G32:G36" si="7">ABS(F32-0.05)</f>
        <v>3.2000000000000001E-2</v>
      </c>
    </row>
    <row r="33" spans="1:7" x14ac:dyDescent="0.3">
      <c r="A33" t="s">
        <v>23</v>
      </c>
      <c r="B33">
        <v>343</v>
      </c>
      <c r="C33">
        <v>4.8289999999999997</v>
      </c>
      <c r="D33">
        <v>0.59399999999999997</v>
      </c>
      <c r="E33">
        <f t="shared" si="6"/>
        <v>4.8999999999999488E-2</v>
      </c>
      <c r="F33">
        <v>0.06</v>
      </c>
      <c r="G33">
        <f t="shared" si="7"/>
        <v>9.999999999999995E-3</v>
      </c>
    </row>
    <row r="34" spans="1:7" x14ac:dyDescent="0.3">
      <c r="A34" t="s">
        <v>24</v>
      </c>
      <c r="B34">
        <v>78</v>
      </c>
      <c r="C34">
        <v>4.7839999999999998</v>
      </c>
      <c r="D34">
        <v>0.51100000000000001</v>
      </c>
      <c r="E34">
        <f t="shared" si="6"/>
        <v>3.9999999999995595E-3</v>
      </c>
      <c r="F34">
        <v>4.9000000000000002E-2</v>
      </c>
      <c r="G34">
        <f t="shared" si="7"/>
        <v>1.0000000000000009E-3</v>
      </c>
    </row>
    <row r="35" spans="1:7" x14ac:dyDescent="0.3">
      <c r="A35" t="s">
        <v>25</v>
      </c>
      <c r="B35">
        <v>27</v>
      </c>
      <c r="C35">
        <v>4.8719999999999999</v>
      </c>
      <c r="D35">
        <v>0.51300000000000001</v>
      </c>
      <c r="E35">
        <f t="shared" si="6"/>
        <v>9.1999999999999638E-2</v>
      </c>
      <c r="F35">
        <v>6.9000000000000006E-2</v>
      </c>
      <c r="G35">
        <f t="shared" si="7"/>
        <v>1.9000000000000003E-2</v>
      </c>
    </row>
    <row r="36" spans="1:7" x14ac:dyDescent="0.3">
      <c r="A36" t="s">
        <v>26</v>
      </c>
      <c r="B36">
        <v>2</v>
      </c>
      <c r="C36">
        <v>4.7</v>
      </c>
      <c r="D36">
        <v>0.11</v>
      </c>
      <c r="E36">
        <f t="shared" si="6"/>
        <v>8.0000000000000071E-2</v>
      </c>
      <c r="F36">
        <v>0.01</v>
      </c>
      <c r="G36">
        <f t="shared" si="7"/>
        <v>0.04</v>
      </c>
    </row>
  </sheetData>
  <mergeCells count="5">
    <mergeCell ref="A1:G1"/>
    <mergeCell ref="A8:G8"/>
    <mergeCell ref="A15:G15"/>
    <mergeCell ref="A22:G22"/>
    <mergeCell ref="A29:G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activeCell="E18" sqref="E18"/>
    </sheetView>
  </sheetViews>
  <sheetFormatPr defaultRowHeight="14.4" x14ac:dyDescent="0.3"/>
  <cols>
    <col min="1" max="1" width="18.21875" bestFit="1" customWidth="1"/>
    <col min="2" max="2" width="14.33203125" bestFit="1" customWidth="1"/>
    <col min="3" max="3" width="13.21875" bestFit="1" customWidth="1"/>
    <col min="4" max="4" width="6" bestFit="1" customWidth="1"/>
    <col min="5" max="5" width="6" customWidth="1"/>
    <col min="6" max="7" width="10.5546875" bestFit="1" customWidth="1"/>
    <col min="8" max="8" width="10" bestFit="1" customWidth="1"/>
  </cols>
  <sheetData>
    <row r="1" spans="1:8" x14ac:dyDescent="0.3">
      <c r="A1" s="7" t="s">
        <v>7</v>
      </c>
      <c r="B1" s="7"/>
      <c r="C1" s="7"/>
      <c r="D1" s="7"/>
      <c r="E1" s="7"/>
      <c r="F1" s="7"/>
      <c r="G1" s="7"/>
    </row>
    <row r="2" spans="1:8" x14ac:dyDescent="0.3">
      <c r="A2" t="s">
        <v>0</v>
      </c>
      <c r="B2" t="s">
        <v>1</v>
      </c>
      <c r="C2" t="s">
        <v>2</v>
      </c>
      <c r="D2" t="s">
        <v>3</v>
      </c>
      <c r="E2" t="s">
        <v>6</v>
      </c>
      <c r="F2" t="s">
        <v>5</v>
      </c>
      <c r="G2" t="s">
        <v>4</v>
      </c>
      <c r="H2" t="s">
        <v>27</v>
      </c>
    </row>
    <row r="3" spans="1:8" x14ac:dyDescent="0.3">
      <c r="A3">
        <v>3</v>
      </c>
      <c r="B3">
        <v>28</v>
      </c>
      <c r="C3">
        <v>0.108959641623809</v>
      </c>
      <c r="D3">
        <v>44.207000000000001</v>
      </c>
      <c r="E3">
        <f>ABS(D3-44.39)</f>
        <v>0.18299999999999983</v>
      </c>
      <c r="F3">
        <v>0.67300000000000004</v>
      </c>
      <c r="G3">
        <v>9.2999999999999999E-2</v>
      </c>
      <c r="H3">
        <f>ABS(G3-0.06)</f>
        <v>3.3000000000000002E-2</v>
      </c>
    </row>
    <row r="4" spans="1:8" x14ac:dyDescent="0.3">
      <c r="A4">
        <v>4</v>
      </c>
      <c r="B4">
        <v>1957</v>
      </c>
      <c r="C4">
        <v>2.8088002387490301</v>
      </c>
      <c r="D4">
        <v>44.289000000000001</v>
      </c>
      <c r="E4">
        <f t="shared" ref="E4:E6" si="0">ABS(D4-44.39)</f>
        <v>0.10099999999999909</v>
      </c>
      <c r="F4">
        <v>1.1299999999999999</v>
      </c>
      <c r="G4">
        <v>0.114</v>
      </c>
      <c r="H4">
        <f t="shared" ref="H4:H6" si="1">ABS(G4-0.06)</f>
        <v>5.4000000000000006E-2</v>
      </c>
    </row>
    <row r="5" spans="1:8" x14ac:dyDescent="0.3">
      <c r="A5">
        <v>5</v>
      </c>
      <c r="B5">
        <v>42077</v>
      </c>
      <c r="C5">
        <v>96.074367086109106</v>
      </c>
      <c r="D5">
        <v>44.197000000000003</v>
      </c>
      <c r="E5">
        <f t="shared" si="0"/>
        <v>0.19299999999999784</v>
      </c>
      <c r="F5">
        <v>1.5740000000000001</v>
      </c>
      <c r="G5">
        <v>0.104</v>
      </c>
      <c r="H5">
        <f t="shared" si="1"/>
        <v>4.3999999999999997E-2</v>
      </c>
    </row>
    <row r="6" spans="1:8" x14ac:dyDescent="0.3">
      <c r="A6">
        <v>6</v>
      </c>
      <c r="B6">
        <v>868328</v>
      </c>
      <c r="C6">
        <v>1529.5727552932899</v>
      </c>
      <c r="D6">
        <v>44.23</v>
      </c>
      <c r="E6">
        <f t="shared" si="0"/>
        <v>0.16000000000000369</v>
      </c>
      <c r="F6">
        <v>1.714</v>
      </c>
      <c r="G6">
        <v>0.107</v>
      </c>
      <c r="H6">
        <f t="shared" si="1"/>
        <v>4.7E-2</v>
      </c>
    </row>
    <row r="9" spans="1:8" x14ac:dyDescent="0.3">
      <c r="A9" s="7" t="s">
        <v>9</v>
      </c>
      <c r="B9" s="7"/>
      <c r="C9" s="7"/>
      <c r="D9" s="7"/>
      <c r="E9" s="7"/>
      <c r="F9" s="7"/>
      <c r="G9" s="7"/>
    </row>
    <row r="10" spans="1:8" x14ac:dyDescent="0.3">
      <c r="A10" t="s">
        <v>0</v>
      </c>
      <c r="B10" t="s">
        <v>1</v>
      </c>
      <c r="C10" t="s">
        <v>2</v>
      </c>
      <c r="D10" t="s">
        <v>3</v>
      </c>
      <c r="E10" t="s">
        <v>6</v>
      </c>
      <c r="F10" t="s">
        <v>5</v>
      </c>
      <c r="G10" t="s">
        <v>4</v>
      </c>
      <c r="H10" t="s">
        <v>27</v>
      </c>
    </row>
    <row r="11" spans="1:8" x14ac:dyDescent="0.3">
      <c r="A11">
        <v>3</v>
      </c>
      <c r="B11">
        <v>17</v>
      </c>
      <c r="C11">
        <v>0.222880983923916</v>
      </c>
      <c r="D11">
        <v>44.375</v>
      </c>
      <c r="E11">
        <f t="shared" ref="E11:E14" si="2">ABS(D11-44.39)</f>
        <v>1.5000000000000568E-2</v>
      </c>
      <c r="F11">
        <v>0.61799999999999999</v>
      </c>
      <c r="G11">
        <v>0.10299999999999999</v>
      </c>
      <c r="H11">
        <f>ABS(G11-0.06)</f>
        <v>4.2999999999999997E-2</v>
      </c>
    </row>
    <row r="12" spans="1:8" x14ac:dyDescent="0.3">
      <c r="A12">
        <v>4</v>
      </c>
      <c r="B12">
        <v>150</v>
      </c>
      <c r="C12">
        <v>0.970698372495859</v>
      </c>
      <c r="D12">
        <v>44.33</v>
      </c>
      <c r="E12">
        <f t="shared" si="2"/>
        <v>6.0000000000002274E-2</v>
      </c>
      <c r="F12">
        <v>1.0409999999999999</v>
      </c>
      <c r="G12">
        <v>0.11</v>
      </c>
      <c r="H12">
        <f t="shared" ref="H12:H14" si="3">ABS(G12-0.06)</f>
        <v>0.05</v>
      </c>
    </row>
    <row r="13" spans="1:8" x14ac:dyDescent="0.3">
      <c r="A13">
        <v>5</v>
      </c>
      <c r="B13">
        <v>299</v>
      </c>
      <c r="C13">
        <v>2.7990979013139001</v>
      </c>
      <c r="D13">
        <v>44.267000000000003</v>
      </c>
      <c r="E13">
        <f t="shared" si="2"/>
        <v>0.12299999999999756</v>
      </c>
      <c r="F13">
        <v>1.377</v>
      </c>
      <c r="G13">
        <v>0.10299999999999999</v>
      </c>
      <c r="H13">
        <f t="shared" si="3"/>
        <v>4.2999999999999997E-2</v>
      </c>
    </row>
    <row r="14" spans="1:8" x14ac:dyDescent="0.3">
      <c r="A14">
        <v>6</v>
      </c>
      <c r="B14">
        <v>364</v>
      </c>
      <c r="C14">
        <v>4.6685032077953403</v>
      </c>
      <c r="D14">
        <v>44.231000000000002</v>
      </c>
      <c r="E14">
        <f t="shared" si="2"/>
        <v>0.15899999999999892</v>
      </c>
      <c r="F14">
        <v>1.399</v>
      </c>
      <c r="G14">
        <v>0.113</v>
      </c>
      <c r="H14">
        <f t="shared" si="3"/>
        <v>5.3000000000000005E-2</v>
      </c>
    </row>
    <row r="16" spans="1:8" x14ac:dyDescent="0.3">
      <c r="A16" s="7" t="s">
        <v>20</v>
      </c>
      <c r="B16" s="7"/>
      <c r="C16" s="7"/>
      <c r="D16" s="7"/>
      <c r="E16" s="7"/>
      <c r="F16" s="7"/>
      <c r="G16" s="7"/>
    </row>
    <row r="17" spans="1:7" x14ac:dyDescent="0.3">
      <c r="B17" t="s">
        <v>13</v>
      </c>
      <c r="C17" t="s">
        <v>3</v>
      </c>
      <c r="D17" t="s">
        <v>5</v>
      </c>
      <c r="E17" t="s">
        <v>6</v>
      </c>
      <c r="F17" t="s">
        <v>4</v>
      </c>
      <c r="G17" t="s">
        <v>27</v>
      </c>
    </row>
    <row r="18" spans="1:7" x14ac:dyDescent="0.3">
      <c r="A18" t="s">
        <v>21</v>
      </c>
      <c r="B18">
        <v>1957</v>
      </c>
      <c r="C18">
        <v>44.289000000000001</v>
      </c>
      <c r="D18">
        <v>1.1299999999999999</v>
      </c>
      <c r="E18">
        <f>ABS(C18-44.39)</f>
        <v>0.10099999999999909</v>
      </c>
      <c r="F18">
        <v>0.114</v>
      </c>
      <c r="G18">
        <f>ABS(F18-0.06)</f>
        <v>5.4000000000000006E-2</v>
      </c>
    </row>
    <row r="19" spans="1:7" x14ac:dyDescent="0.3">
      <c r="A19" t="s">
        <v>22</v>
      </c>
      <c r="B19">
        <v>1650</v>
      </c>
      <c r="C19">
        <v>44.344999999999999</v>
      </c>
      <c r="D19">
        <v>1.123</v>
      </c>
      <c r="E19">
        <f t="shared" ref="E19:E23" si="4">ABS(C19-44.39)</f>
        <v>4.5000000000001705E-2</v>
      </c>
      <c r="F19">
        <v>9.7000000000000003E-2</v>
      </c>
      <c r="G19">
        <f t="shared" ref="G19:G23" si="5">ABS(F19-0.06)</f>
        <v>3.7000000000000005E-2</v>
      </c>
    </row>
    <row r="20" spans="1:7" x14ac:dyDescent="0.3">
      <c r="A20" t="s">
        <v>23</v>
      </c>
      <c r="B20">
        <v>176</v>
      </c>
      <c r="C20">
        <v>44.165999999999997</v>
      </c>
      <c r="D20">
        <v>0.51900000000000002</v>
      </c>
      <c r="E20">
        <f t="shared" si="4"/>
        <v>0.22400000000000375</v>
      </c>
      <c r="F20">
        <v>7.2999999999999995E-2</v>
      </c>
      <c r="G20">
        <f t="shared" si="5"/>
        <v>1.2999999999999998E-2</v>
      </c>
    </row>
    <row r="21" spans="1:7" x14ac:dyDescent="0.3">
      <c r="A21" t="s">
        <v>24</v>
      </c>
      <c r="B21">
        <v>50</v>
      </c>
      <c r="C21">
        <v>44.165999999999997</v>
      </c>
      <c r="D21">
        <v>0.54200000000000004</v>
      </c>
      <c r="E21">
        <f t="shared" si="4"/>
        <v>0.22400000000000375</v>
      </c>
      <c r="F21">
        <v>8.3000000000000004E-2</v>
      </c>
      <c r="G21">
        <f t="shared" si="5"/>
        <v>2.3000000000000007E-2</v>
      </c>
    </row>
    <row r="22" spans="1:7" x14ac:dyDescent="0.3">
      <c r="A22" t="s">
        <v>25</v>
      </c>
      <c r="B22">
        <v>20</v>
      </c>
      <c r="C22">
        <v>44.290999999999997</v>
      </c>
      <c r="D22">
        <v>0.56799999999999995</v>
      </c>
      <c r="E22">
        <f t="shared" si="4"/>
        <v>9.9000000000003752E-2</v>
      </c>
      <c r="F22">
        <v>0.105</v>
      </c>
      <c r="G22">
        <f t="shared" si="5"/>
        <v>4.4999999999999998E-2</v>
      </c>
    </row>
    <row r="23" spans="1:7" x14ac:dyDescent="0.3">
      <c r="A23" t="s">
        <v>26</v>
      </c>
      <c r="B23">
        <v>1</v>
      </c>
      <c r="C23">
        <v>45.02</v>
      </c>
      <c r="D23">
        <v>0</v>
      </c>
      <c r="E23">
        <f t="shared" si="4"/>
        <v>0.63000000000000256</v>
      </c>
      <c r="F23">
        <v>0.01</v>
      </c>
      <c r="G23">
        <f t="shared" si="5"/>
        <v>4.9999999999999996E-2</v>
      </c>
    </row>
  </sheetData>
  <mergeCells count="3">
    <mergeCell ref="A9:G9"/>
    <mergeCell ref="A1:G1"/>
    <mergeCell ref="A16:G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activeCell="E18" sqref="E18"/>
    </sheetView>
  </sheetViews>
  <sheetFormatPr defaultRowHeight="14.4" x14ac:dyDescent="0.3"/>
  <cols>
    <col min="1" max="1" width="18.21875" bestFit="1" customWidth="1"/>
    <col min="2" max="2" width="14.33203125" bestFit="1" customWidth="1"/>
    <col min="3" max="3" width="13.21875" bestFit="1" customWidth="1"/>
    <col min="4" max="4" width="7" bestFit="1" customWidth="1"/>
    <col min="5" max="5" width="7" customWidth="1"/>
    <col min="6" max="7" width="10.5546875" bestFit="1" customWidth="1"/>
  </cols>
  <sheetData>
    <row r="1" spans="1:8" x14ac:dyDescent="0.3">
      <c r="A1" s="7" t="s">
        <v>7</v>
      </c>
      <c r="B1" s="7"/>
      <c r="C1" s="7"/>
      <c r="D1" s="7"/>
      <c r="E1" s="7"/>
      <c r="F1" s="7"/>
      <c r="G1" s="7"/>
    </row>
    <row r="2" spans="1:8" x14ac:dyDescent="0.3">
      <c r="A2" t="s">
        <v>0</v>
      </c>
      <c r="B2" t="s">
        <v>1</v>
      </c>
      <c r="C2" t="s">
        <v>2</v>
      </c>
      <c r="D2" t="s">
        <v>3</v>
      </c>
      <c r="E2" t="s">
        <v>6</v>
      </c>
      <c r="F2" t="s">
        <v>5</v>
      </c>
      <c r="G2" t="s">
        <v>4</v>
      </c>
      <c r="H2" t="s">
        <v>27</v>
      </c>
    </row>
    <row r="3" spans="1:8" x14ac:dyDescent="0.3">
      <c r="A3">
        <v>3</v>
      </c>
      <c r="B3">
        <v>3</v>
      </c>
      <c r="C3">
        <v>8.2759225076227502E-2</v>
      </c>
      <c r="D3">
        <v>-30.007000000000001</v>
      </c>
      <c r="E3">
        <f>ABS(D3+29.43)</f>
        <v>0.57700000000000173</v>
      </c>
      <c r="F3">
        <v>0.64300000000000002</v>
      </c>
      <c r="G3">
        <v>0.18</v>
      </c>
      <c r="H3">
        <f>ABS(G3-0.09)</f>
        <v>0.09</v>
      </c>
    </row>
    <row r="4" spans="1:8" x14ac:dyDescent="0.3">
      <c r="A4">
        <v>4</v>
      </c>
      <c r="B4">
        <v>972</v>
      </c>
      <c r="C4">
        <v>1.3787910488061701</v>
      </c>
      <c r="D4">
        <v>-29.992000000000001</v>
      </c>
      <c r="E4">
        <f t="shared" ref="E4:E6" si="0">ABS(D4+29.43)</f>
        <v>0.56200000000000117</v>
      </c>
      <c r="F4">
        <v>1.014</v>
      </c>
      <c r="G4">
        <v>0.16500000000000001</v>
      </c>
      <c r="H4">
        <f t="shared" ref="H4:H6" si="1">ABS(G4-0.09)</f>
        <v>7.5000000000000011E-2</v>
      </c>
    </row>
    <row r="5" spans="1:8" x14ac:dyDescent="0.3">
      <c r="A5">
        <v>5</v>
      </c>
      <c r="B5">
        <v>32911</v>
      </c>
      <c r="C5">
        <v>72.245150410310401</v>
      </c>
      <c r="D5">
        <v>-29.827999999999999</v>
      </c>
      <c r="E5">
        <f t="shared" si="0"/>
        <v>0.39799999999999969</v>
      </c>
      <c r="F5">
        <v>1.36</v>
      </c>
      <c r="G5">
        <v>0.19600000000000001</v>
      </c>
      <c r="H5">
        <f t="shared" si="1"/>
        <v>0.10600000000000001</v>
      </c>
    </row>
    <row r="6" spans="1:8" x14ac:dyDescent="0.3">
      <c r="A6">
        <v>6</v>
      </c>
      <c r="B6">
        <v>698664</v>
      </c>
      <c r="C6">
        <v>1438.2275158258001</v>
      </c>
      <c r="D6">
        <v>-29.853999999999999</v>
      </c>
      <c r="E6">
        <f t="shared" si="0"/>
        <v>0.42399999999999949</v>
      </c>
      <c r="F6">
        <v>1.655</v>
      </c>
      <c r="G6">
        <v>0.188</v>
      </c>
      <c r="H6">
        <f t="shared" si="1"/>
        <v>9.8000000000000004E-2</v>
      </c>
    </row>
    <row r="9" spans="1:8" x14ac:dyDescent="0.3">
      <c r="A9" s="7" t="s">
        <v>9</v>
      </c>
      <c r="B9" s="7"/>
      <c r="C9" s="7"/>
      <c r="D9" s="7"/>
      <c r="E9" s="7"/>
      <c r="F9" s="7"/>
      <c r="G9" s="7"/>
    </row>
    <row r="10" spans="1:8" x14ac:dyDescent="0.3">
      <c r="A10" t="s">
        <v>0</v>
      </c>
      <c r="B10" t="s">
        <v>1</v>
      </c>
      <c r="C10" t="s">
        <v>2</v>
      </c>
      <c r="D10" t="s">
        <v>3</v>
      </c>
      <c r="E10" t="s">
        <v>6</v>
      </c>
      <c r="F10" t="s">
        <v>5</v>
      </c>
      <c r="G10" t="s">
        <v>4</v>
      </c>
      <c r="H10" t="s">
        <v>27</v>
      </c>
    </row>
    <row r="11" spans="1:8" x14ac:dyDescent="0.3">
      <c r="A11">
        <v>3</v>
      </c>
      <c r="B11">
        <v>2</v>
      </c>
      <c r="C11">
        <v>0.19509719706742901</v>
      </c>
      <c r="D11">
        <v>-30.114999999999998</v>
      </c>
      <c r="E11">
        <f t="shared" ref="E11:E14" si="2">ABS(D11+29.43)</f>
        <v>0.68499999999999872</v>
      </c>
      <c r="F11">
        <v>0.76500000000000001</v>
      </c>
      <c r="G11">
        <v>0.20499999999999999</v>
      </c>
      <c r="H11">
        <f t="shared" ref="H11:H14" si="3">ABS(G11-0.09)</f>
        <v>0.11499999999999999</v>
      </c>
    </row>
    <row r="12" spans="1:8" x14ac:dyDescent="0.3">
      <c r="A12">
        <v>4</v>
      </c>
      <c r="B12">
        <v>83</v>
      </c>
      <c r="C12">
        <v>0.86086434412704205</v>
      </c>
      <c r="D12">
        <v>-29.986000000000001</v>
      </c>
      <c r="E12">
        <f t="shared" si="2"/>
        <v>0.55600000000000094</v>
      </c>
      <c r="F12">
        <v>0.98899999999999999</v>
      </c>
      <c r="G12">
        <v>0.16400000000000001</v>
      </c>
      <c r="H12">
        <f t="shared" si="3"/>
        <v>7.400000000000001E-2</v>
      </c>
    </row>
    <row r="13" spans="1:8" x14ac:dyDescent="0.3">
      <c r="A13">
        <v>5</v>
      </c>
      <c r="B13">
        <v>189</v>
      </c>
      <c r="C13">
        <v>2.2152025656046601</v>
      </c>
      <c r="D13">
        <v>-29.951000000000001</v>
      </c>
      <c r="E13">
        <f t="shared" si="2"/>
        <v>0.5210000000000008</v>
      </c>
      <c r="F13">
        <v>1.4219999999999999</v>
      </c>
      <c r="G13">
        <v>0.20899999999999999</v>
      </c>
      <c r="H13">
        <f t="shared" si="3"/>
        <v>0.11899999999999999</v>
      </c>
    </row>
    <row r="14" spans="1:8" x14ac:dyDescent="0.3">
      <c r="A14">
        <v>6</v>
      </c>
      <c r="B14">
        <v>275</v>
      </c>
      <c r="C14">
        <v>4.5023942011776299</v>
      </c>
      <c r="D14">
        <v>-29.86</v>
      </c>
      <c r="E14">
        <f t="shared" si="2"/>
        <v>0.42999999999999972</v>
      </c>
      <c r="F14">
        <v>1.165</v>
      </c>
      <c r="G14">
        <v>0.20499999999999999</v>
      </c>
      <c r="H14">
        <f t="shared" si="3"/>
        <v>0.11499999999999999</v>
      </c>
    </row>
    <row r="16" spans="1:8" x14ac:dyDescent="0.3">
      <c r="A16" s="7" t="s">
        <v>20</v>
      </c>
      <c r="B16" s="7"/>
      <c r="C16" s="7"/>
      <c r="D16" s="7"/>
      <c r="E16" s="7"/>
      <c r="F16" s="7"/>
      <c r="G16" s="7"/>
    </row>
    <row r="17" spans="1:7" x14ac:dyDescent="0.3">
      <c r="B17" t="s">
        <v>13</v>
      </c>
      <c r="C17" t="s">
        <v>3</v>
      </c>
      <c r="D17" t="s">
        <v>5</v>
      </c>
      <c r="E17" t="s">
        <v>6</v>
      </c>
      <c r="F17" t="s">
        <v>4</v>
      </c>
      <c r="G17" t="s">
        <v>27</v>
      </c>
    </row>
    <row r="18" spans="1:7" x14ac:dyDescent="0.3">
      <c r="A18" t="s">
        <v>21</v>
      </c>
      <c r="B18">
        <v>972</v>
      </c>
      <c r="C18">
        <v>-29.992000000000001</v>
      </c>
      <c r="D18">
        <v>1.014</v>
      </c>
      <c r="E18">
        <f>ABS(C18+29.43)</f>
        <v>0.56200000000000117</v>
      </c>
      <c r="F18">
        <v>0.16500000000000001</v>
      </c>
      <c r="G18">
        <f>ABS(F18-0.09)</f>
        <v>7.5000000000000011E-2</v>
      </c>
    </row>
    <row r="19" spans="1:7" x14ac:dyDescent="0.3">
      <c r="A19" t="s">
        <v>22</v>
      </c>
      <c r="B19">
        <v>953</v>
      </c>
      <c r="C19">
        <v>-29.974</v>
      </c>
      <c r="D19">
        <v>0.999</v>
      </c>
      <c r="E19">
        <f t="shared" ref="E19:E23" si="4">ABS(C19+29.43)</f>
        <v>0.54400000000000048</v>
      </c>
      <c r="F19">
        <v>0.16200000000000001</v>
      </c>
      <c r="G19">
        <f t="shared" ref="G19:G23" si="5">ABS(F19-0.09)</f>
        <v>7.2000000000000008E-2</v>
      </c>
    </row>
    <row r="20" spans="1:7" x14ac:dyDescent="0.3">
      <c r="A20" t="s">
        <v>23</v>
      </c>
      <c r="B20">
        <v>149</v>
      </c>
      <c r="C20">
        <v>-30.202999999999999</v>
      </c>
      <c r="D20">
        <v>0.82299999999999995</v>
      </c>
      <c r="E20">
        <f t="shared" si="4"/>
        <v>0.77299999999999969</v>
      </c>
      <c r="F20">
        <v>0.214</v>
      </c>
      <c r="G20">
        <f t="shared" si="5"/>
        <v>0.124</v>
      </c>
    </row>
    <row r="21" spans="1:7" x14ac:dyDescent="0.3">
      <c r="A21" t="s">
        <v>24</v>
      </c>
      <c r="B21">
        <v>35</v>
      </c>
      <c r="C21">
        <v>-30.222000000000001</v>
      </c>
      <c r="D21">
        <v>0.39600000000000002</v>
      </c>
      <c r="E21">
        <f t="shared" si="4"/>
        <v>0.79200000000000159</v>
      </c>
      <c r="F21">
        <v>0.16300000000000001</v>
      </c>
      <c r="G21">
        <f t="shared" si="5"/>
        <v>7.3000000000000009E-2</v>
      </c>
    </row>
    <row r="22" spans="1:7" x14ac:dyDescent="0.3">
      <c r="A22" t="s">
        <v>25</v>
      </c>
      <c r="B22">
        <v>31</v>
      </c>
      <c r="C22">
        <v>-30.234000000000002</v>
      </c>
      <c r="D22">
        <v>0.371</v>
      </c>
      <c r="E22">
        <f t="shared" si="4"/>
        <v>0.80400000000000205</v>
      </c>
      <c r="F22">
        <v>0.16600000000000001</v>
      </c>
      <c r="G22">
        <f t="shared" si="5"/>
        <v>7.6000000000000012E-2</v>
      </c>
    </row>
    <row r="23" spans="1:7" x14ac:dyDescent="0.3">
      <c r="A23" t="s">
        <v>26</v>
      </c>
      <c r="B23">
        <v>15</v>
      </c>
      <c r="C23">
        <v>-30.295999999999999</v>
      </c>
      <c r="D23">
        <v>0.42</v>
      </c>
      <c r="E23">
        <f t="shared" si="4"/>
        <v>0.86599999999999966</v>
      </c>
      <c r="F23">
        <v>0.14699999999999999</v>
      </c>
      <c r="G23">
        <f t="shared" si="5"/>
        <v>5.6999999999999995E-2</v>
      </c>
    </row>
  </sheetData>
  <mergeCells count="3">
    <mergeCell ref="A9:G9"/>
    <mergeCell ref="A1:G1"/>
    <mergeCell ref="A16:G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E19" sqref="E19"/>
    </sheetView>
  </sheetViews>
  <sheetFormatPr defaultRowHeight="14.4" x14ac:dyDescent="0.3"/>
  <cols>
    <col min="1" max="1" width="18.21875" bestFit="1" customWidth="1"/>
    <col min="2" max="2" width="14.33203125" bestFit="1" customWidth="1"/>
    <col min="3" max="3" width="13.21875" bestFit="1" customWidth="1"/>
    <col min="4" max="4" width="7.6640625" bestFit="1" customWidth="1"/>
    <col min="5" max="5" width="7.6640625" customWidth="1"/>
    <col min="6" max="7" width="10.5546875" bestFit="1" customWidth="1"/>
  </cols>
  <sheetData>
    <row r="1" spans="1:7" x14ac:dyDescent="0.3">
      <c r="A1" s="7" t="s">
        <v>7</v>
      </c>
      <c r="B1" s="7"/>
      <c r="C1" s="7"/>
      <c r="D1" s="7"/>
      <c r="E1" s="7"/>
      <c r="F1" s="7"/>
      <c r="G1" s="7"/>
    </row>
    <row r="2" spans="1:7" x14ac:dyDescent="0.3">
      <c r="A2" t="s">
        <v>0</v>
      </c>
      <c r="B2" t="s">
        <v>1</v>
      </c>
      <c r="C2" t="s">
        <v>2</v>
      </c>
      <c r="D2" t="s">
        <v>3</v>
      </c>
      <c r="E2" t="s">
        <v>6</v>
      </c>
      <c r="F2" t="s">
        <v>5</v>
      </c>
      <c r="G2" t="s">
        <v>4</v>
      </c>
    </row>
    <row r="3" spans="1:7" x14ac:dyDescent="0.3">
      <c r="A3">
        <v>3</v>
      </c>
      <c r="B3">
        <v>2</v>
      </c>
      <c r="C3">
        <v>7.4671048995659198E-2</v>
      </c>
      <c r="D3">
        <v>17.295000000000002</v>
      </c>
      <c r="E3">
        <f>ABS(D3-19.86)</f>
        <v>2.5649999999999977</v>
      </c>
      <c r="F3">
        <v>3.585</v>
      </c>
      <c r="G3">
        <v>0.16</v>
      </c>
    </row>
    <row r="4" spans="1:7" x14ac:dyDescent="0.3">
      <c r="A4">
        <v>4</v>
      </c>
      <c r="B4">
        <v>621</v>
      </c>
      <c r="C4">
        <v>1.17610978034141</v>
      </c>
      <c r="D4">
        <v>17.684000000000001</v>
      </c>
      <c r="E4">
        <f t="shared" ref="E4:E6" si="0">ABS(D4-19.86)</f>
        <v>2.1759999999999984</v>
      </c>
      <c r="F4">
        <v>2.1379999999999999</v>
      </c>
      <c r="G4">
        <v>0.20100000000000001</v>
      </c>
    </row>
    <row r="5" spans="1:7" x14ac:dyDescent="0.3">
      <c r="A5">
        <v>5</v>
      </c>
      <c r="B5">
        <v>25643</v>
      </c>
      <c r="C5">
        <v>61.793728416661203</v>
      </c>
      <c r="D5">
        <v>18.199000000000002</v>
      </c>
      <c r="E5">
        <f t="shared" si="0"/>
        <v>1.6609999999999978</v>
      </c>
      <c r="F5">
        <v>1.831</v>
      </c>
      <c r="G5">
        <v>0.23699999999999999</v>
      </c>
    </row>
    <row r="6" spans="1:7" x14ac:dyDescent="0.3">
      <c r="A6">
        <v>6</v>
      </c>
      <c r="B6">
        <v>552295</v>
      </c>
      <c r="C6">
        <v>1435.9241703392199</v>
      </c>
      <c r="D6">
        <v>18.119</v>
      </c>
      <c r="E6">
        <f t="shared" si="0"/>
        <v>1.7409999999999997</v>
      </c>
      <c r="F6">
        <v>2.0129999999999999</v>
      </c>
      <c r="G6">
        <v>0.23100000000000001</v>
      </c>
    </row>
    <row r="9" spans="1:7" x14ac:dyDescent="0.3">
      <c r="A9" s="7" t="s">
        <v>9</v>
      </c>
      <c r="B9" s="7"/>
      <c r="C9" s="7"/>
      <c r="D9" s="7"/>
      <c r="E9" s="7"/>
      <c r="F9" s="7"/>
      <c r="G9" s="7"/>
    </row>
    <row r="10" spans="1:7" x14ac:dyDescent="0.3">
      <c r="A10" t="s">
        <v>0</v>
      </c>
      <c r="B10" t="s">
        <v>1</v>
      </c>
      <c r="C10" t="s">
        <v>2</v>
      </c>
      <c r="D10" t="s">
        <v>3</v>
      </c>
      <c r="E10" t="s">
        <v>6</v>
      </c>
      <c r="F10" t="s">
        <v>5</v>
      </c>
      <c r="G10" t="s">
        <v>4</v>
      </c>
    </row>
    <row r="11" spans="1:7" x14ac:dyDescent="0.3">
      <c r="A11">
        <v>3</v>
      </c>
      <c r="B11">
        <v>1</v>
      </c>
      <c r="C11">
        <v>0.21198884890439099</v>
      </c>
      <c r="D11">
        <v>20.88</v>
      </c>
      <c r="E11">
        <f t="shared" ref="E11:E14" si="1">ABS(D11-19.86)</f>
        <v>1.0199999999999996</v>
      </c>
      <c r="F11">
        <v>0</v>
      </c>
      <c r="G11">
        <v>0.06</v>
      </c>
    </row>
    <row r="12" spans="1:7" x14ac:dyDescent="0.3">
      <c r="A12">
        <v>4</v>
      </c>
      <c r="B12">
        <v>55</v>
      </c>
      <c r="C12">
        <v>0.68494404714345902</v>
      </c>
      <c r="D12">
        <v>17.757000000000001</v>
      </c>
      <c r="E12">
        <f t="shared" si="1"/>
        <v>2.102999999999998</v>
      </c>
      <c r="F12">
        <v>2.1520000000000001</v>
      </c>
      <c r="G12">
        <v>0.19500000000000001</v>
      </c>
    </row>
    <row r="13" spans="1:7" x14ac:dyDescent="0.3">
      <c r="A13">
        <v>5</v>
      </c>
      <c r="B13">
        <v>121</v>
      </c>
      <c r="C13">
        <v>1.7719401990522601</v>
      </c>
      <c r="D13">
        <v>18.184000000000001</v>
      </c>
      <c r="E13">
        <f t="shared" si="1"/>
        <v>1.6759999999999984</v>
      </c>
      <c r="F13">
        <v>1.599</v>
      </c>
      <c r="G13">
        <v>0.247</v>
      </c>
    </row>
    <row r="14" spans="1:7" x14ac:dyDescent="0.3">
      <c r="A14">
        <v>6</v>
      </c>
      <c r="B14">
        <v>205</v>
      </c>
      <c r="C14">
        <v>3.7005941882296098</v>
      </c>
      <c r="D14">
        <v>18.346</v>
      </c>
      <c r="E14">
        <f t="shared" si="1"/>
        <v>1.5139999999999993</v>
      </c>
      <c r="F14">
        <v>1.6739999999999999</v>
      </c>
      <c r="G14">
        <v>0.24199999999999999</v>
      </c>
    </row>
    <row r="17" spans="1:7" x14ac:dyDescent="0.3">
      <c r="A17" s="7" t="s">
        <v>20</v>
      </c>
      <c r="B17" s="7"/>
      <c r="C17" s="7"/>
      <c r="D17" s="7"/>
      <c r="E17" s="7"/>
      <c r="F17" s="7"/>
      <c r="G17" s="7"/>
    </row>
    <row r="18" spans="1:7" x14ac:dyDescent="0.3">
      <c r="B18" t="s">
        <v>13</v>
      </c>
      <c r="C18" t="s">
        <v>3</v>
      </c>
      <c r="D18" t="s">
        <v>5</v>
      </c>
      <c r="E18" t="s">
        <v>6</v>
      </c>
      <c r="F18" t="s">
        <v>4</v>
      </c>
      <c r="G18" t="s">
        <v>27</v>
      </c>
    </row>
    <row r="19" spans="1:7" x14ac:dyDescent="0.3">
      <c r="A19" t="s">
        <v>21</v>
      </c>
      <c r="B19">
        <v>621</v>
      </c>
      <c r="C19">
        <v>17.684000000000001</v>
      </c>
      <c r="D19">
        <v>2.1379999999999999</v>
      </c>
      <c r="E19">
        <f>ABS(C19-19.86)</f>
        <v>2.1759999999999984</v>
      </c>
      <c r="F19">
        <v>0.20100000000000001</v>
      </c>
      <c r="G19">
        <f>ABS(F19-0.06)</f>
        <v>0.14100000000000001</v>
      </c>
    </row>
    <row r="20" spans="1:7" x14ac:dyDescent="0.3">
      <c r="A20" t="s">
        <v>22</v>
      </c>
      <c r="B20">
        <v>575</v>
      </c>
      <c r="C20">
        <v>17.739999999999998</v>
      </c>
      <c r="D20">
        <v>2.1920000000000002</v>
      </c>
      <c r="E20">
        <f t="shared" ref="E20:E23" si="2">ABS(C20-19.86)</f>
        <v>2.120000000000001</v>
      </c>
      <c r="F20">
        <v>0.193</v>
      </c>
      <c r="G20">
        <f t="shared" ref="G20:G23" si="3">ABS(F20-0.06)</f>
        <v>0.13300000000000001</v>
      </c>
    </row>
    <row r="21" spans="1:7" x14ac:dyDescent="0.3">
      <c r="A21" t="s">
        <v>23</v>
      </c>
      <c r="B21">
        <v>38</v>
      </c>
      <c r="C21">
        <v>20.347999999999999</v>
      </c>
      <c r="D21">
        <v>0.34699999999999998</v>
      </c>
      <c r="E21">
        <f t="shared" si="2"/>
        <v>0.48799999999999955</v>
      </c>
      <c r="F21">
        <v>4.3999999999999997E-2</v>
      </c>
      <c r="G21">
        <f t="shared" si="3"/>
        <v>1.6E-2</v>
      </c>
    </row>
    <row r="22" spans="1:7" x14ac:dyDescent="0.3">
      <c r="A22" t="s">
        <v>24</v>
      </c>
      <c r="B22">
        <v>6</v>
      </c>
      <c r="C22">
        <v>20.395</v>
      </c>
      <c r="D22">
        <v>0.38300000000000001</v>
      </c>
      <c r="E22">
        <f t="shared" si="2"/>
        <v>0.53500000000000014</v>
      </c>
      <c r="F22">
        <v>8.0000000000000002E-3</v>
      </c>
      <c r="G22">
        <f t="shared" si="3"/>
        <v>5.1999999999999998E-2</v>
      </c>
    </row>
    <row r="23" spans="1:7" x14ac:dyDescent="0.3">
      <c r="A23" t="s">
        <v>25</v>
      </c>
      <c r="B23">
        <v>2</v>
      </c>
      <c r="C23">
        <v>20.21</v>
      </c>
      <c r="D23">
        <v>0.1</v>
      </c>
      <c r="E23">
        <f t="shared" si="2"/>
        <v>0.35000000000000142</v>
      </c>
      <c r="F23">
        <v>1.4999999999999999E-2</v>
      </c>
      <c r="G23">
        <f t="shared" si="3"/>
        <v>4.4999999999999998E-2</v>
      </c>
    </row>
    <row r="24" spans="1:7" x14ac:dyDescent="0.3">
      <c r="A24" t="s">
        <v>26</v>
      </c>
      <c r="B24">
        <v>0</v>
      </c>
      <c r="C24" t="s">
        <v>11</v>
      </c>
      <c r="D24" t="s">
        <v>11</v>
      </c>
      <c r="E24" t="s">
        <v>11</v>
      </c>
      <c r="F24" t="s">
        <v>11</v>
      </c>
      <c r="G24" t="s">
        <v>11</v>
      </c>
    </row>
  </sheetData>
  <mergeCells count="3">
    <mergeCell ref="A9:G9"/>
    <mergeCell ref="A1:G1"/>
    <mergeCell ref="A17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CCC</vt:lpstr>
      <vt:lpstr>Lit. data</vt:lpstr>
      <vt:lpstr>All species</vt:lpstr>
      <vt:lpstr>C=CC</vt:lpstr>
      <vt:lpstr>C#CC</vt:lpstr>
      <vt:lpstr>C1CCCCC1</vt:lpstr>
      <vt:lpstr>C1=CC=CC=C1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2018-06-20T01:51:35Z</dcterms:created>
  <dcterms:modified xsi:type="dcterms:W3CDTF">2018-06-30T08:45:19Z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fd7bc02d-d005-4d80-89e8-bb66515cbce6</vt:lpwstr>
  </property>
</Properties>
</file>