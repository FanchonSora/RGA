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filterPrivacy="1"/>
  <xr:revisionPtr revIDLastSave="0" documentId="13_ncr:1_{0343FE3B-A24E-472C-A49B-82B6B86745FB}" xr6:coauthVersionLast="34" xr6:coauthVersionMax="34" xr10:uidLastSave="{00000000-0000-0000-0000-000000000000}"/>
  <bookViews>
    <workbookView xWindow="0" yWindow="0" windowWidth="20736" windowHeight="11760" xr2:uid="{00000000-000D-0000-FFFF-FFFF00000000}"/>
  </bookViews>
  <sheets>
    <sheet name="ALL" sheetId="1" r:id="rId1"/>
    <sheet name="Data 12.06.18-wrong" sheetId="2" r:id="rId2"/>
  </sheets>
  <calcPr calcId="1790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89" i="1" l="1"/>
  <c r="L89" i="1"/>
  <c r="K89" i="1"/>
  <c r="K83" i="1"/>
  <c r="M159" i="1" l="1"/>
  <c r="L159" i="1"/>
  <c r="K159" i="1"/>
  <c r="M158" i="1"/>
  <c r="L158" i="1"/>
  <c r="K158" i="1"/>
  <c r="M157" i="1"/>
  <c r="L157" i="1"/>
  <c r="K157" i="1"/>
  <c r="M156" i="1"/>
  <c r="L156" i="1"/>
  <c r="K156" i="1"/>
  <c r="M155" i="1"/>
  <c r="L155" i="1"/>
  <c r="K155" i="1"/>
  <c r="M154" i="1"/>
  <c r="L154" i="1"/>
  <c r="K154" i="1"/>
  <c r="M153" i="1"/>
  <c r="L153" i="1"/>
  <c r="K153" i="1"/>
  <c r="M152" i="1"/>
  <c r="L152" i="1"/>
  <c r="K152" i="1"/>
  <c r="M151" i="1"/>
  <c r="L151" i="1"/>
  <c r="K151" i="1"/>
  <c r="M150" i="1"/>
  <c r="L150" i="1"/>
  <c r="K150" i="1"/>
  <c r="M149" i="1"/>
  <c r="L149" i="1"/>
  <c r="K149" i="1"/>
  <c r="M146" i="1"/>
  <c r="L146" i="1"/>
  <c r="K146" i="1"/>
  <c r="M145" i="1"/>
  <c r="L145" i="1"/>
  <c r="K145" i="1"/>
  <c r="M144" i="1"/>
  <c r="L144" i="1"/>
  <c r="K144" i="1"/>
  <c r="M143" i="1"/>
  <c r="L143" i="1"/>
  <c r="K143" i="1"/>
  <c r="M142" i="1"/>
  <c r="L142" i="1"/>
  <c r="K142" i="1"/>
  <c r="M141" i="1"/>
  <c r="L141" i="1"/>
  <c r="K141" i="1"/>
  <c r="M139" i="1"/>
  <c r="L139" i="1"/>
  <c r="K139" i="1"/>
  <c r="M136" i="1"/>
  <c r="L136" i="1"/>
  <c r="K136" i="1"/>
  <c r="M121" i="1"/>
  <c r="L121" i="1"/>
  <c r="K121" i="1"/>
  <c r="M120" i="1"/>
  <c r="L120" i="1"/>
  <c r="K120" i="1"/>
  <c r="K115" i="1"/>
  <c r="L115" i="1"/>
  <c r="M115" i="1"/>
  <c r="M63" i="1" l="1"/>
  <c r="M64" i="1"/>
  <c r="L64" i="1"/>
  <c r="K64" i="1"/>
  <c r="M41" i="1"/>
  <c r="M42" i="1"/>
  <c r="M43" i="1"/>
  <c r="M44" i="1"/>
  <c r="M45" i="1"/>
  <c r="M46" i="1"/>
  <c r="L46" i="1"/>
  <c r="K46" i="1"/>
  <c r="L45" i="1"/>
  <c r="K45" i="1"/>
  <c r="L44" i="1"/>
  <c r="K44" i="1"/>
  <c r="L43" i="1"/>
  <c r="K43" i="1"/>
  <c r="L42" i="1"/>
  <c r="K42" i="1"/>
  <c r="M39" i="1"/>
  <c r="L39" i="1"/>
  <c r="K39" i="1"/>
  <c r="M35" i="1"/>
  <c r="M36" i="1"/>
  <c r="M37" i="1"/>
  <c r="L36" i="1"/>
  <c r="K36" i="1"/>
  <c r="L35" i="1"/>
  <c r="K35" i="1"/>
  <c r="M32" i="1"/>
  <c r="L32" i="1"/>
  <c r="K32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K123" i="1" l="1"/>
  <c r="K124" i="1"/>
  <c r="M124" i="1"/>
  <c r="L124" i="1"/>
  <c r="M123" i="1"/>
  <c r="L123" i="1"/>
  <c r="K122" i="1"/>
  <c r="M122" i="1"/>
  <c r="L122" i="1"/>
  <c r="M119" i="1" l="1"/>
  <c r="L119" i="1"/>
  <c r="K119" i="1"/>
  <c r="M118" i="1"/>
  <c r="L118" i="1"/>
  <c r="K118" i="1"/>
  <c r="M117" i="1"/>
  <c r="L117" i="1"/>
  <c r="K117" i="1"/>
  <c r="M116" i="1" l="1"/>
  <c r="L116" i="1"/>
  <c r="K116" i="1"/>
  <c r="K113" i="1"/>
  <c r="L113" i="1"/>
  <c r="M113" i="1"/>
  <c r="K109" i="1"/>
  <c r="L109" i="1"/>
  <c r="M109" i="1"/>
  <c r="K110" i="1"/>
  <c r="L110" i="1"/>
  <c r="M110" i="1"/>
  <c r="K108" i="1"/>
  <c r="L108" i="1"/>
  <c r="M108" i="1"/>
  <c r="K106" i="1"/>
  <c r="L106" i="1"/>
  <c r="M106" i="1"/>
  <c r="L246" i="1" l="1"/>
  <c r="M246" i="1"/>
  <c r="K246" i="1"/>
  <c r="K137" i="1" l="1"/>
  <c r="L137" i="1"/>
  <c r="M137" i="1"/>
  <c r="K138" i="1"/>
  <c r="L138" i="1"/>
  <c r="M138" i="1"/>
  <c r="K114" i="1"/>
  <c r="L114" i="1"/>
  <c r="M114" i="1"/>
  <c r="K104" i="1"/>
  <c r="L104" i="1"/>
  <c r="M104" i="1"/>
  <c r="K105" i="1"/>
  <c r="L105" i="1"/>
  <c r="M105" i="1"/>
  <c r="K107" i="1"/>
  <c r="L107" i="1"/>
  <c r="M107" i="1"/>
  <c r="K111" i="1"/>
  <c r="L111" i="1"/>
  <c r="M111" i="1"/>
  <c r="K112" i="1"/>
  <c r="L112" i="1"/>
  <c r="M112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M103" i="1"/>
  <c r="L103" i="1"/>
  <c r="K103" i="1"/>
  <c r="K31" i="1" l="1"/>
  <c r="L31" i="1"/>
  <c r="M31" i="1"/>
  <c r="K33" i="1"/>
  <c r="L33" i="1"/>
  <c r="M33" i="1"/>
  <c r="K34" i="1"/>
  <c r="L34" i="1"/>
  <c r="M34" i="1"/>
  <c r="K37" i="1"/>
  <c r="L37" i="1"/>
  <c r="K38" i="1"/>
  <c r="L38" i="1"/>
  <c r="M38" i="1"/>
  <c r="K40" i="1"/>
  <c r="L40" i="1"/>
  <c r="M40" i="1"/>
  <c r="K41" i="1"/>
  <c r="L41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90" i="1"/>
  <c r="L90" i="1"/>
  <c r="M90" i="1"/>
  <c r="K91" i="1"/>
  <c r="L91" i="1"/>
  <c r="M91" i="1"/>
  <c r="K92" i="1"/>
  <c r="L92" i="1"/>
  <c r="M92" i="1"/>
  <c r="K93" i="1"/>
  <c r="L93" i="1"/>
  <c r="M93" i="1"/>
  <c r="L30" i="1"/>
  <c r="M30" i="1"/>
  <c r="K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42" authorId="0" shapeId="0" xr:uid="{C79E067C-F824-482B-8569-8BE544B127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Lam-2018.06.14: 
correct from [C]=C[C]</t>
        </r>
      </text>
    </comment>
    <comment ref="G43" authorId="0" shapeId="0" xr:uid="{BB1522BF-5D64-464C-AD62-7FC0B18487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2018.06: correct from [C]C[CH]</t>
        </r>
      </text>
    </comment>
    <comment ref="G44" authorId="0" shapeId="0" xr:uid="{38B91053-1A78-4D07-A451-7603BA3D59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2018.06: correct from [CH]C[CH]</t>
        </r>
      </text>
    </comment>
    <comment ref="C47" authorId="0" shapeId="0" xr:uid="{82651AC2-41DD-4C69-8A32-95E85ED881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should be 3-propynyl?
</t>
        </r>
      </text>
    </comment>
    <comment ref="G80" authorId="0" shapeId="0" xr:uid="{C9BC931E-49B2-4325-A5F1-2729F0DEC5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Sym no. = 1
(possibly 2)</t>
        </r>
      </text>
    </comment>
  </commentList>
</comments>
</file>

<file path=xl/sharedStrings.xml><?xml version="1.0" encoding="utf-8"?>
<sst xmlns="http://schemas.openxmlformats.org/spreadsheetml/2006/main" count="1264" uniqueCount="873">
  <si>
    <t xml:space="preserve">ALL ATCT DATABASE OF C/H/N/O </t>
  </si>
  <si>
    <t xml:space="preserve">SMILE: can be found on https://cactus.nci.nih.gov/translate/ </t>
  </si>
  <si>
    <t>NO.</t>
  </si>
  <si>
    <t>Species Name</t>
  </si>
  <si>
    <t>Formula</t>
  </si>
  <si>
    <t>Atom</t>
  </si>
  <si>
    <t>Isodesmic</t>
  </si>
  <si>
    <t>W1U</t>
  </si>
  <si>
    <t>G3</t>
  </si>
  <si>
    <t>Element</t>
  </si>
  <si>
    <t>Dihydrogen</t>
  </si>
  <si>
    <t>[HH]</t>
  </si>
  <si>
    <t>Dioxygen</t>
  </si>
  <si>
    <t>O=O</t>
  </si>
  <si>
    <t>Graphite</t>
  </si>
  <si>
    <t>C (graphite)</t>
  </si>
  <si>
    <t>Dinitrogen</t>
  </si>
  <si>
    <t>N#N</t>
  </si>
  <si>
    <t>Difluorine</t>
  </si>
  <si>
    <t>FF</t>
  </si>
  <si>
    <t>Dichlorine</t>
  </si>
  <si>
    <t>ClCl</t>
  </si>
  <si>
    <t>Dibromine</t>
  </si>
  <si>
    <t>BrBr</t>
  </si>
  <si>
    <t>Diiodine</t>
  </si>
  <si>
    <t>II</t>
  </si>
  <si>
    <t>Monoatomic Radical</t>
  </si>
  <si>
    <t>Hydrogen atom</t>
  </si>
  <si>
    <t>H(g)</t>
  </si>
  <si>
    <t>Carbon atom</t>
  </si>
  <si>
    <t>C(g)</t>
  </si>
  <si>
    <t>Oxygen atom</t>
  </si>
  <si>
    <t>O(g)</t>
  </si>
  <si>
    <t>Nitrogen atom</t>
  </si>
  <si>
    <t>N(g)</t>
  </si>
  <si>
    <t>Fluorine atom</t>
  </si>
  <si>
    <t>F(g)</t>
  </si>
  <si>
    <t>Chlorine atom</t>
  </si>
  <si>
    <t>Cl(g)</t>
  </si>
  <si>
    <t>Bromine atom</t>
  </si>
  <si>
    <t>Br(g)</t>
  </si>
  <si>
    <t>Iodine atom</t>
  </si>
  <si>
    <t>I (g)</t>
  </si>
  <si>
    <t>[C]</t>
  </si>
  <si>
    <t>[H]</t>
  </si>
  <si>
    <t>[O]</t>
  </si>
  <si>
    <t>[N]</t>
  </si>
  <si>
    <t>[F]</t>
  </si>
  <si>
    <t>[B]</t>
  </si>
  <si>
    <t>[I]</t>
  </si>
  <si>
    <t>[CH3]</t>
  </si>
  <si>
    <t>Methane</t>
  </si>
  <si>
    <t>C</t>
  </si>
  <si>
    <t>Acetylene</t>
  </si>
  <si>
    <t>C#C</t>
  </si>
  <si>
    <t>Vinyl</t>
  </si>
  <si>
    <t>[CH]=C</t>
  </si>
  <si>
    <t>Ethylene</t>
  </si>
  <si>
    <t>C=C</t>
  </si>
  <si>
    <t>Ethyl</t>
  </si>
  <si>
    <t>[CH2]C</t>
  </si>
  <si>
    <t>Ethane</t>
  </si>
  <si>
    <t>CC</t>
  </si>
  <si>
    <t>Allene</t>
  </si>
  <si>
    <t>C=C=C</t>
  </si>
  <si>
    <t>Propyne</t>
  </si>
  <si>
    <t>CC#C</t>
  </si>
  <si>
    <t>CC=C</t>
  </si>
  <si>
    <t>Propane</t>
  </si>
  <si>
    <t>CCC</t>
  </si>
  <si>
    <t>n-Propyl</t>
  </si>
  <si>
    <t>[CH2]CC</t>
  </si>
  <si>
    <t>i-Propyl</t>
  </si>
  <si>
    <t>C[CH]C</t>
  </si>
  <si>
    <t>1-Propenyl (trans)</t>
  </si>
  <si>
    <t>1-Propenyl (cis)</t>
  </si>
  <si>
    <t>Aromatic Compounds</t>
  </si>
  <si>
    <t>HydroCarbon Open Chain and Alicyclic Compounds</t>
  </si>
  <si>
    <t>Heterocyclic Compounds</t>
  </si>
  <si>
    <t>Other small compounds</t>
  </si>
  <si>
    <t>Water</t>
  </si>
  <si>
    <t>H2O</t>
  </si>
  <si>
    <t>O</t>
  </si>
  <si>
    <t>CarbonMonoxide</t>
  </si>
  <si>
    <t>C#O</t>
  </si>
  <si>
    <t>CO</t>
  </si>
  <si>
    <t>CarbonDioxide</t>
  </si>
  <si>
    <t>O=C=O</t>
  </si>
  <si>
    <t>CO2</t>
  </si>
  <si>
    <t>Allyl</t>
  </si>
  <si>
    <t>[CH2]C=C</t>
  </si>
  <si>
    <t>Cyclopropane</t>
  </si>
  <si>
    <t>C1CCC1</t>
  </si>
  <si>
    <t>1-Propynyl</t>
  </si>
  <si>
    <t>Cycloprop-1-enyl</t>
  </si>
  <si>
    <t>Cycloprop-2-enyl</t>
  </si>
  <si>
    <t>Cyclopropyl</t>
  </si>
  <si>
    <t>2-Propynyl</t>
  </si>
  <si>
    <t>[CH2]C#C</t>
  </si>
  <si>
    <t>15/04/2017 - NGP</t>
  </si>
  <si>
    <t>G2 (SVP)</t>
  </si>
  <si>
    <t>n-Butane</t>
  </si>
  <si>
    <t>CCCC</t>
  </si>
  <si>
    <t>Acetyl</t>
  </si>
  <si>
    <t>Ethoxy</t>
  </si>
  <si>
    <t>Formyloxy</t>
  </si>
  <si>
    <t>­126.34</t>
  </si>
  <si>
    <t> 0.53</t>
  </si>
  <si>
    <t>Trioxidane</t>
  </si>
  <si>
    <t xml:space="preserve"> ­90.24</t>
  </si>
  <si>
    <t> 0.78</t>
  </si>
  <si>
    <t xml:space="preserve"> ­53.98</t>
  </si>
  <si>
    <t> 0.87</t>
  </si>
  <si>
    <t>Oxoethenyl</t>
  </si>
  <si>
    <t>HCCO (g)</t>
  </si>
  <si>
    <t> 0.60</t>
  </si>
  <si>
    <t>Methanediol</t>
  </si>
  <si>
    <t>­393.35</t>
  </si>
  <si>
    <t> 0.96</t>
  </si>
  <si>
    <t>­22.54</t>
  </si>
  <si>
    <t>­381.8</t>
  </si>
  <si>
    <t>Vinoxy</t>
  </si>
  <si>
    <t>Ketene</t>
  </si>
  <si>
    <t>­184.02</t>
  </si>
  <si>
    <t>OCCCO (g)</t>
  </si>
  <si>
    <t>­94.1</t>
  </si>
  <si>
    <t>­123.90</t>
  </si>
  <si>
    <t>­432.84</t>
  </si>
  <si>
    <t> 0.62</t>
  </si>
  <si>
    <t>­389.42</t>
  </si>
  <si>
    <t>Oxiranyl</t>
  </si>
  <si>
    <t>C=O=C</t>
  </si>
  <si>
    <t>COC (g, triplet)</t>
  </si>
  <si>
    <t> 2.3</t>
  </si>
  <si>
    <t>COC (g, singlet)</t>
  </si>
  <si>
    <t>Oxirene</t>
  </si>
  <si>
    <t>Ethynol</t>
  </si>
  <si>
    <t>Dioxirane</t>
  </si>
  <si>
    <t>­357.79</t>
  </si>
  <si>
    <t>Dioxiranylidene</t>
  </si>
  <si>
    <t>C(OO) (g)</t>
  </si>
  <si>
    <t>Isoformyl</t>
  </si>
  <si>
    <t>H2COO (g)</t>
  </si>
  <si>
    <t>COO (g)</t>
  </si>
  <si>
    <t>CH2OH2 (g)</t>
  </si>
  <si>
    <t> 4.1</t>
  </si>
  <si>
    <t>Glyoxal</t>
  </si>
  <si>
    <t>­212.48</t>
  </si>
  <si>
    <t> 0.59</t>
  </si>
  <si>
    <t>Aquacarbon</t>
  </si>
  <si>
    <t>H2OC (g, triplet)</t>
  </si>
  <si>
    <t>H2OC (g, singlet vdW)</t>
  </si>
  <si>
    <t>Dioxiranyl</t>
  </si>
  <si>
    <t>HC(OO) (g)</t>
  </si>
  <si>
    <t>­156.9</t>
  </si>
  <si>
    <t>­141.7</t>
  </si>
  <si>
    <t> 1.9</t>
  </si>
  <si>
    <t>­721.4</t>
  </si>
  <si>
    <t>2,3­Butanedione</t>
  </si>
  <si>
    <t>­326.57</t>
  </si>
  <si>
    <t> 0.79</t>
  </si>
  <si>
    <t>2­Propanol</t>
  </si>
  <si>
    <t>­272.83</t>
  </si>
  <si>
    <t>(CH2COOH)2 (g)</t>
  </si>
  <si>
    <t>­817.76</t>
  </si>
  <si>
    <t> 0.61</t>
  </si>
  <si>
    <t>HydroxyFormyl (trans)</t>
  </si>
  <si>
    <t>[CH2]C=O</t>
  </si>
  <si>
    <t>C2H5O (g)</t>
  </si>
  <si>
    <t>CC[O]</t>
  </si>
  <si>
    <t>CO[O]</t>
  </si>
  <si>
    <t>HCOO (g)</t>
  </si>
  <si>
    <t>C(=O)[O]</t>
  </si>
  <si>
    <t>HCOO (g, 2B2 only)</t>
  </si>
  <si>
    <t>HCOO (g, 2A1 only)</t>
  </si>
  <si>
    <t>Trioxidane (trans)</t>
  </si>
  <si>
    <t>/OO/O</t>
  </si>
  <si>
    <t>Trioxidane (cis)</t>
  </si>
  <si>
    <t>Z-HOOOH (g)</t>
  </si>
  <si>
    <t>E-HOOOH (g)</t>
  </si>
  <si>
    <t>/OO\O</t>
  </si>
  <si>
    <t>HOOOH (g)</t>
  </si>
  <si>
    <t>OOO</t>
  </si>
  <si>
    <t>1­HydroxyEthyl</t>
  </si>
  <si>
    <t>C[CH]O</t>
  </si>
  <si>
    <t>C2H5O (g)</t>
  </si>
  <si>
    <t>[CH2]CO</t>
  </si>
  <si>
    <t>[CH]=C=O</t>
  </si>
  <si>
    <t>OCO</t>
  </si>
  <si>
    <t>C=C=O</t>
  </si>
  <si>
    <t>[C]=C=O</t>
  </si>
  <si>
    <t>CCO (g, singlet)</t>
  </si>
  <si>
    <t>CCO (g, triplet)</t>
  </si>
  <si>
    <t>CCO (g)</t>
  </si>
  <si>
    <t>DicarbonMonoxide</t>
  </si>
  <si>
    <t>DimethylEther</t>
  </si>
  <si>
    <t>COC</t>
  </si>
  <si>
    <t>C2H6O (g)</t>
  </si>
  <si>
    <t>C2H2O (g)</t>
  </si>
  <si>
    <t>C2H2O (g, triplet)</t>
  </si>
  <si>
    <t>C2H3O (g)</t>
  </si>
  <si>
    <t>CH4O2 (g)</t>
  </si>
  <si>
    <t>CH4O2 (g, conrot gauche)</t>
  </si>
  <si>
    <t>CH4O2 (g, disrot gauche)</t>
  </si>
  <si>
    <t>CH2O2 (g)</t>
  </si>
  <si>
    <t>Methyl</t>
  </si>
  <si>
    <t>Methylidyne</t>
  </si>
  <si>
    <t>n-Butyl</t>
  </si>
  <si>
    <t>CC(C)C</t>
  </si>
  <si>
    <t>2-Butyne</t>
  </si>
  <si>
    <t>CC#CC</t>
  </si>
  <si>
    <t>1-Butene</t>
  </si>
  <si>
    <t>2-Butene (cis)</t>
  </si>
  <si>
    <t>C/C=C\C</t>
  </si>
  <si>
    <t>2-Butene (trans)</t>
  </si>
  <si>
    <t>C/C=C/C</t>
  </si>
  <si>
    <t>1-Butyne</t>
  </si>
  <si>
    <t>C#CCC</t>
  </si>
  <si>
    <t>Cyclobutene</t>
  </si>
  <si>
    <t>1,3-Cyclopentadiene</t>
  </si>
  <si>
    <t>Methylene</t>
  </si>
  <si>
    <t>CCCCCC</t>
  </si>
  <si>
    <t>Cyclohexane</t>
  </si>
  <si>
    <t>C1CCCCC1</t>
  </si>
  <si>
    <t>CCCCCCCC</t>
  </si>
  <si>
    <t>O=C=C=C=O</t>
  </si>
  <si>
    <t>VinylAlcohol</t>
  </si>
  <si>
    <t>C=CO</t>
  </si>
  <si>
    <t>C2H4O (g)</t>
  </si>
  <si>
    <t>AceticAcid</t>
  </si>
  <si>
    <t>CC(=O)O</t>
  </si>
  <si>
    <t>C2H4O2 (g)</t>
  </si>
  <si>
    <t>EthyleneGlycol</t>
  </si>
  <si>
    <t>C2H6O2 (g)</t>
  </si>
  <si>
    <t>C(O)CO</t>
  </si>
  <si>
    <t>C1=CO1</t>
  </si>
  <si>
    <t>C2H2O (g, t­triplet)</t>
  </si>
  <si>
    <t>C2H2O (g)</t>
  </si>
  <si>
    <t>C2H2O (g, singlet)</t>
  </si>
  <si>
    <t>C#CO</t>
  </si>
  <si>
    <t>C1OO1</t>
  </si>
  <si>
    <t>HCOO (g)</t>
  </si>
  <si>
    <t>MethylFormate</t>
  </si>
  <si>
    <t>C(=O)OC</t>
  </si>
  <si>
    <t>[C1]OO1</t>
  </si>
  <si>
    <t>[CH]=O</t>
  </si>
  <si>
    <t>CHO (g)</t>
  </si>
  <si>
    <t>DioxyMethyl</t>
  </si>
  <si>
    <t>DioxyMethylidyne</t>
  </si>
  <si>
    <t>MethyleneOxonium</t>
  </si>
  <si>
    <t>C=[OH2]</t>
  </si>
  <si>
    <t>O=CC=O</t>
  </si>
  <si>
    <t>C2H2O (g, c­triplet)</t>
  </si>
  <si>
    <t>DioxyMethylene</t>
  </si>
  <si>
    <t>[H/C]O\[O]</t>
  </si>
  <si>
    <t>[CH2]O[O]</t>
  </si>
  <si>
    <t>[C]O[O]</t>
  </si>
  <si>
    <t>[H/C]O/[O]</t>
  </si>
  <si>
    <t>[HC]O[O]</t>
  </si>
  <si>
    <t>O=/CC\=O</t>
  </si>
  <si>
    <t>O=/CC/=O</t>
  </si>
  <si>
    <t>VinylAlcohol (anti)</t>
  </si>
  <si>
    <t>VinylAlcohol (syn)</t>
  </si>
  <si>
    <t>AceticAcid (anti)</t>
  </si>
  <si>
    <t>AceticAcid (syn)</t>
  </si>
  <si>
    <t>MethylFormate (anti)</t>
  </si>
  <si>
    <t>MethylFormate (syn)</t>
  </si>
  <si>
    <t>Glyoxal (cis)</t>
  </si>
  <si>
    <t>Glyoxal (trans)</t>
  </si>
  <si>
    <t>DioxyMethylene (trans)</t>
  </si>
  <si>
    <t>DioxyMethylene (cis)</t>
  </si>
  <si>
    <t>[C1H]OO1</t>
  </si>
  <si>
    <t>FormyloxyMethyl</t>
  </si>
  <si>
    <t>C2H3O2 (g, syn)</t>
  </si>
  <si>
    <t>C2H3O2 (g, anti)</t>
  </si>
  <si>
    <t>C(=O)O[CH2]</t>
  </si>
  <si>
    <t>OxalicAcid</t>
  </si>
  <si>
    <t>O=C(O)C(O)=O</t>
  </si>
  <si>
    <t>C2H2O4 (g)</t>
  </si>
  <si>
    <t>C4H6O2 (g)</t>
  </si>
  <si>
    <t>CC(=O)C(=O)C</t>
  </si>
  <si>
    <t>O=[C]O</t>
  </si>
  <si>
    <t xml:space="preserve">2­HydroxyEthyl </t>
  </si>
  <si>
    <t>1-HydroxyEthyl (gauche-anti)</t>
  </si>
  <si>
    <t>1­HydroxyEthyl (gauche-syn)</t>
  </si>
  <si>
    <t>2­HydroxyEthyl (gauche-syn)</t>
  </si>
  <si>
    <t>2­HydroxyEthyl (gauche-anti)</t>
  </si>
  <si>
    <t>TricarbonDioxide</t>
  </si>
  <si>
    <t>C3H8O (g)</t>
  </si>
  <si>
    <t>CCCO</t>
  </si>
  <si>
    <t>OC(=O)CCC(=O)O</t>
  </si>
  <si>
    <t>Nitro, Nitroso, Nitrate, Cyanate, Amide</t>
  </si>
  <si>
    <t>NitrogenDioxide</t>
  </si>
  <si>
    <t>NO2</t>
  </si>
  <si>
    <t>[O]N=O</t>
  </si>
  <si>
    <t>Ammonia</t>
  </si>
  <si>
    <t>NH3</t>
  </si>
  <si>
    <t>N</t>
  </si>
  <si>
    <t>NitricOxide</t>
  </si>
  <si>
    <t>NO</t>
  </si>
  <si>
    <t>[N]=O</t>
  </si>
  <si>
    <t>Imidogen</t>
  </si>
  <si>
    <t>NH</t>
  </si>
  <si>
    <t>[NH]</t>
  </si>
  <si>
    <t>Cyano</t>
  </si>
  <si>
    <t>CN</t>
  </si>
  <si>
    <t>[C]#N</t>
  </si>
  <si>
    <t>HydrogenCyanide</t>
  </si>
  <si>
    <t>SuccinicAcid</t>
  </si>
  <si>
    <t>C#N</t>
  </si>
  <si>
    <t>O1[CH]C1</t>
  </si>
  <si>
    <t>MethylEnimine</t>
  </si>
  <si>
    <t>C=N</t>
  </si>
  <si>
    <t>MethylAmine</t>
  </si>
  <si>
    <t>Diazene</t>
  </si>
  <si>
    <t>N=N</t>
  </si>
  <si>
    <t>Diazene (trans)</t>
  </si>
  <si>
    <t>Diazene (cis)</t>
  </si>
  <si>
    <t>HCN (g)</t>
  </si>
  <si>
    <t>CNH3 (g)</t>
  </si>
  <si>
    <t>CNH5 (g)</t>
  </si>
  <si>
    <t>N2H2 (g)</t>
  </si>
  <si>
    <t>Cyanogen</t>
  </si>
  <si>
    <t>NCCN (g)</t>
  </si>
  <si>
    <t>N#CC#N</t>
  </si>
  <si>
    <t>Hydrazine</t>
  </si>
  <si>
    <t>N2H4 (g)</t>
  </si>
  <si>
    <t>NN</t>
  </si>
  <si>
    <t>Hydrazyl</t>
  </si>
  <si>
    <t>N2H3 (g)</t>
  </si>
  <si>
    <t>N[NH]</t>
  </si>
  <si>
    <t>HydrazoicAcid</t>
  </si>
  <si>
    <t>Isodiazene</t>
  </si>
  <si>
    <t>N3H (g)</t>
  </si>
  <si>
    <t>[N-]=[N+]</t>
  </si>
  <si>
    <t>IminoMethyl</t>
  </si>
  <si>
    <t>CNH2 (g)</t>
  </si>
  <si>
    <t>N=[CH]</t>
  </si>
  <si>
    <t>IminoMethyl (trans)</t>
  </si>
  <si>
    <t>IminoMethyl (cis)</t>
  </si>
  <si>
    <t>HNCN (g)</t>
  </si>
  <si>
    <t>N#C[NH]</t>
  </si>
  <si>
    <t>MethyleneAmidogen</t>
  </si>
  <si>
    <t>CyanoAmidogen</t>
  </si>
  <si>
    <t>[CH][NH]</t>
  </si>
  <si>
    <t>DiazoMethyl</t>
  </si>
  <si>
    <t>HCNN (g)</t>
  </si>
  <si>
    <t>[CH]=[N-]=[N+]</t>
  </si>
  <si>
    <t>IsocyanoAmidogen</t>
  </si>
  <si>
    <t>HNNC (g)</t>
  </si>
  <si>
    <t>Diazenyl</t>
  </si>
  <si>
    <t>N2H (g)</t>
  </si>
  <si>
    <t>[N]=N</t>
  </si>
  <si>
    <t>AminoMethylene</t>
  </si>
  <si>
    <t>[CH]N</t>
  </si>
  <si>
    <t>MethylImidogen</t>
  </si>
  <si>
    <t>C=[N]</t>
  </si>
  <si>
    <t>Azido radical</t>
  </si>
  <si>
    <t>N3 (g)</t>
  </si>
  <si>
    <t>DimethylAmine</t>
  </si>
  <si>
    <t>CNC</t>
  </si>
  <si>
    <t>TrimethylAmine</t>
  </si>
  <si>
    <t>C3NH9 (g)</t>
  </si>
  <si>
    <t>C2NH7 (g)</t>
  </si>
  <si>
    <t>CN(C)C</t>
  </si>
  <si>
    <t>Isocyanogen</t>
  </si>
  <si>
    <t>CNCN (g)</t>
  </si>
  <si>
    <t>[C-]#[N+]C#[N]</t>
  </si>
  <si>
    <t>[N]=[N+]=[N-]</t>
  </si>
  <si>
    <t>[NH][N+]#[C-]</t>
  </si>
  <si>
    <t>N=[N+]=[N-]</t>
  </si>
  <si>
    <t>Diisocyanogen</t>
  </si>
  <si>
    <t>CNNC (g)</t>
  </si>
  <si>
    <t>[C-]#[N+][N+]#[C-]</t>
  </si>
  <si>
    <t>AminoMethyl</t>
  </si>
  <si>
    <t>CNH4 (g)</t>
  </si>
  <si>
    <t>N[CH2]</t>
  </si>
  <si>
    <t>MethylAmidogen</t>
  </si>
  <si>
    <t>C[NH]</t>
  </si>
  <si>
    <t>HydrogenIsocyanide</t>
  </si>
  <si>
    <t>HNC (g)</t>
  </si>
  <si>
    <t>[N+]#[C-]</t>
  </si>
  <si>
    <t>DiazoEthenylidene</t>
  </si>
  <si>
    <t>NNCC (g)</t>
  </si>
  <si>
    <t>[N-]=[N+]=C=[C]</t>
  </si>
  <si>
    <t>IsodiazoMethylidyne</t>
  </si>
  <si>
    <t>CNC (g)</t>
  </si>
  <si>
    <t>[C-]#[N+][C]</t>
  </si>
  <si>
    <t>CyanoMethylidyne</t>
  </si>
  <si>
    <t>CCN (g)</t>
  </si>
  <si>
    <t>[C]C#N</t>
  </si>
  <si>
    <t>DiazoMethylene</t>
  </si>
  <si>
    <t>CNN (g)</t>
  </si>
  <si>
    <t>[C]=[N+]=[N-]</t>
  </si>
  <si>
    <t>Cyanamide</t>
  </si>
  <si>
    <t>CN2H2 (g)</t>
  </si>
  <si>
    <t>NC#N</t>
  </si>
  <si>
    <t>3H-Diazirin-3-ylidene-Methylene</t>
  </si>
  <si>
    <t>C2N2 (g)</t>
  </si>
  <si>
    <t>[C][C1]N=N1</t>
  </si>
  <si>
    <t>2,3-Didehydro-1H-Azirin-1-yl</t>
  </si>
  <si>
    <t>C2N (g)</t>
  </si>
  <si>
    <t>[C1]=[C][N1]</t>
  </si>
  <si>
    <t>3H-Diazirin-3-ylidene</t>
  </si>
  <si>
    <t>CN2 (g)</t>
  </si>
  <si>
    <t>[C1]N=N1</t>
  </si>
  <si>
    <t>Norbornadiene</t>
  </si>
  <si>
    <t>C1=CC1CC2C=C2</t>
  </si>
  <si>
    <t>Amine, Imine, Cyanide, Azo, Azide</t>
  </si>
  <si>
    <t>Tetrazete</t>
  </si>
  <si>
    <t>N4 (g)</t>
  </si>
  <si>
    <t>N1=NN=N1</t>
  </si>
  <si>
    <t>Hydroxyl</t>
  </si>
  <si>
    <t>OH</t>
  </si>
  <si>
    <t>[OH]</t>
  </si>
  <si>
    <t>Methanol</t>
  </si>
  <si>
    <t>Formaldehyde</t>
  </si>
  <si>
    <t>C=O</t>
  </si>
  <si>
    <t>Ethanol</t>
  </si>
  <si>
    <t>CCO</t>
  </si>
  <si>
    <t>Dioxidanyl</t>
  </si>
  <si>
    <t>HO2</t>
  </si>
  <si>
    <t>[O]O</t>
  </si>
  <si>
    <t>HydrogenPeroxide</t>
  </si>
  <si>
    <t>H2O2</t>
  </si>
  <si>
    <t>OO</t>
  </si>
  <si>
    <t>Acetaldehyde</t>
  </si>
  <si>
    <t>C2H4O (g)</t>
  </si>
  <si>
    <t>CC=O</t>
  </si>
  <si>
    <t>HydroxyMethyl</t>
  </si>
  <si>
    <t>CH3O (g)</t>
  </si>
  <si>
    <t>O[CH2]</t>
  </si>
  <si>
    <t>Ozone</t>
  </si>
  <si>
    <t>O3 (g)</t>
  </si>
  <si>
    <t>O=[O+][O-]</t>
  </si>
  <si>
    <t>Methoxy radical</t>
  </si>
  <si>
    <t>C[O]</t>
  </si>
  <si>
    <t>Formyl</t>
  </si>
  <si>
    <t>HCO (g)</t>
  </si>
  <si>
    <t>Oxirane</t>
  </si>
  <si>
    <t>C1OC1</t>
  </si>
  <si>
    <t>Acetone</t>
  </si>
  <si>
    <t>C3H6O (g)</t>
  </si>
  <si>
    <t>CC(=O)C</t>
  </si>
  <si>
    <t>MethylHydroPeroxide</t>
  </si>
  <si>
    <t>COO</t>
  </si>
  <si>
    <t>2-HydroTrioxy</t>
  </si>
  <si>
    <t>HO3 (g)</t>
  </si>
  <si>
    <t>Trioxidanyl</t>
  </si>
  <si>
    <t>OO[O]</t>
  </si>
  <si>
    <t>Trioxidanyl (trans)</t>
  </si>
  <si>
    <t>Trioxidanyl (cis)</t>
  </si>
  <si>
    <t>/OO/[O]</t>
  </si>
  <si>
    <t>/OO\[O]</t>
  </si>
  <si>
    <t>/N=[C\H]</t>
  </si>
  <si>
    <t>/N=[C/H]</t>
  </si>
  <si>
    <t>/N=N/</t>
  </si>
  <si>
    <t>/N=N\</t>
  </si>
  <si>
    <t>Dioxigen</t>
  </si>
  <si>
    <t>O2</t>
  </si>
  <si>
    <t>NitricAcid</t>
  </si>
  <si>
    <t>O[N+](=O)[O-]</t>
  </si>
  <si>
    <t>Cyanato</t>
  </si>
  <si>
    <t>N#C[O]</t>
  </si>
  <si>
    <t>NirosylHydride</t>
  </si>
  <si>
    <t>HNO (g)</t>
  </si>
  <si>
    <t>HNO3 (g)</t>
  </si>
  <si>
    <t>NCO (g)</t>
  </si>
  <si>
    <t>N=O</t>
  </si>
  <si>
    <t>NitrousOxide</t>
  </si>
  <si>
    <t>NNO (g)</t>
  </si>
  <si>
    <t>N#[N+][O-]</t>
  </si>
  <si>
    <t>HydroxylAmine (trans)</t>
  </si>
  <si>
    <t>NH2OH (g)</t>
  </si>
  <si>
    <t>ON</t>
  </si>
  <si>
    <t>HydroxylAmine (cis)</t>
  </si>
  <si>
    <t xml:space="preserve">HydroxylAmine </t>
  </si>
  <si>
    <t>/ON/</t>
  </si>
  <si>
    <t>/ON\</t>
  </si>
  <si>
    <t>IsocyanicAcid</t>
  </si>
  <si>
    <t>HNCO (g)</t>
  </si>
  <si>
    <t>N=C=O</t>
  </si>
  <si>
    <t>HydroxyAmidogen (trans)</t>
  </si>
  <si>
    <t>HNOH (g)</t>
  </si>
  <si>
    <t>/O[N/H]</t>
  </si>
  <si>
    <t>HydroxyAmidogen</t>
  </si>
  <si>
    <t>HydroxyAmidogen (cis)</t>
  </si>
  <si>
    <t>/O[N\H]</t>
  </si>
  <si>
    <t>Nitroxyl</t>
  </si>
  <si>
    <t>H2NO (g)</t>
  </si>
  <si>
    <t>N[O]</t>
  </si>
  <si>
    <t>PeroxyNitrouAcid</t>
  </si>
  <si>
    <t>OON=O</t>
  </si>
  <si>
    <t>PeroxyNitrouAcid (cis,cis)</t>
  </si>
  <si>
    <t>/O/O\N\=O</t>
  </si>
  <si>
    <t>PeroxyNitrouAcid (trans,perp)</t>
  </si>
  <si>
    <t>O/ON/=O</t>
  </si>
  <si>
    <t>PeroxyNitrouAcid (cis,perp)</t>
  </si>
  <si>
    <t>O/ON\=O</t>
  </si>
  <si>
    <t>NitrogenSesquioxide</t>
  </si>
  <si>
    <t>N2O3 (g)</t>
  </si>
  <si>
    <t>[O-][N+](=O)N=O</t>
  </si>
  <si>
    <t>NitrosylNitrite</t>
  </si>
  <si>
    <t>O=NON=O</t>
  </si>
  <si>
    <t>N2O3 (g, sym)</t>
  </si>
  <si>
    <t>N2O3 (g, c, t)</t>
  </si>
  <si>
    <t>DinitrogenPentoxide</t>
  </si>
  <si>
    <t>N2O5 (g)</t>
  </si>
  <si>
    <t>[O-][N+](=O)O[N+](=O)[O-]</t>
  </si>
  <si>
    <t>IsofulminicAcid</t>
  </si>
  <si>
    <t>HCNO (g)</t>
  </si>
  <si>
    <t>C#[N+][O-]</t>
  </si>
  <si>
    <t>CyanicAcid</t>
  </si>
  <si>
    <t>HOCN (g)</t>
  </si>
  <si>
    <t>OC#N</t>
  </si>
  <si>
    <t>FulminicAcid</t>
  </si>
  <si>
    <t>HONC (g)</t>
  </si>
  <si>
    <t>O[N+]#[C-]</t>
  </si>
  <si>
    <t>NitrosoMethylidyne</t>
  </si>
  <si>
    <t>CNO (g)</t>
  </si>
  <si>
    <t>[C]N=O</t>
  </si>
  <si>
    <t>Oxazirinyl</t>
  </si>
  <si>
    <t>N1=[C]O1</t>
  </si>
  <si>
    <t>Oxadiazirine</t>
  </si>
  <si>
    <t>ON2 (g)</t>
  </si>
  <si>
    <t>O1N=N1</t>
  </si>
  <si>
    <t>NON</t>
  </si>
  <si>
    <t>[N-]=[O+]=[N-]</t>
  </si>
  <si>
    <t>HydroxyImidogen</t>
  </si>
  <si>
    <t>O[N]</t>
  </si>
  <si>
    <t>DinitrogenTetraoxide</t>
  </si>
  <si>
    <t>N2O4 (g)</t>
  </si>
  <si>
    <t>[O-][N+](=O)[N+](=O)[O-]</t>
  </si>
  <si>
    <t>NitrousAcid</t>
  </si>
  <si>
    <t>HONO (g)</t>
  </si>
  <si>
    <t>ON=O</t>
  </si>
  <si>
    <t>NitrousAcid (trans)</t>
  </si>
  <si>
    <t>NitrousAcid (cis)</t>
  </si>
  <si>
    <t>/ON/=O</t>
  </si>
  <si>
    <t>/ON\=O</t>
  </si>
  <si>
    <t>O=NO[N+](=O)[O-]</t>
  </si>
  <si>
    <t>NitrosylNitrate (cis)</t>
  </si>
  <si>
    <t>NitrogenHydrideOxide</t>
  </si>
  <si>
    <t>NN=O</t>
  </si>
  <si>
    <t>H2N2O (g)</t>
  </si>
  <si>
    <t>NitrosoBenzene</t>
  </si>
  <si>
    <t>C6H5NO (g)</t>
  </si>
  <si>
    <t>C1=CC=CC=C1N=O</t>
  </si>
  <si>
    <t>DinitrogenDioxide</t>
  </si>
  <si>
    <t>N2O2 (g)</t>
  </si>
  <si>
    <t>O=/NN\=O</t>
  </si>
  <si>
    <t>C[C]=O</t>
  </si>
  <si>
    <r>
      <t>H</t>
    </r>
    <r>
      <rPr>
        <vertAlign val="subscript"/>
        <sz val="11"/>
        <rFont val="Century"/>
        <family val="1"/>
      </rPr>
      <t>2</t>
    </r>
    <r>
      <rPr>
        <vertAlign val="superscript"/>
        <sz val="11"/>
        <rFont val="Century"/>
        <family val="1"/>
      </rPr>
      <t xml:space="preserve"> </t>
    </r>
    <r>
      <rPr>
        <sz val="11"/>
        <rFont val="Century"/>
        <family val="1"/>
      </rPr>
      <t>(g)</t>
    </r>
  </si>
  <si>
    <r>
      <t>O</t>
    </r>
    <r>
      <rPr>
        <vertAlign val="subscript"/>
        <sz val="11"/>
        <rFont val="Century"/>
        <family val="1"/>
      </rPr>
      <t>2</t>
    </r>
    <r>
      <rPr>
        <vertAlign val="superscript"/>
        <sz val="11"/>
        <rFont val="Century"/>
        <family val="1"/>
      </rPr>
      <t xml:space="preserve"> </t>
    </r>
    <r>
      <rPr>
        <sz val="11"/>
        <rFont val="Century"/>
        <family val="1"/>
      </rPr>
      <t>(g)</t>
    </r>
  </si>
  <si>
    <t>IUPAC Name</t>
  </si>
  <si>
    <t>molecular oxygen</t>
  </si>
  <si>
    <t>InChi</t>
  </si>
  <si>
    <t>1S/O2/c1-2</t>
  </si>
  <si>
    <t>Carbon</t>
  </si>
  <si>
    <t>1S/C</t>
  </si>
  <si>
    <t>molecular nitrogen</t>
  </si>
  <si>
    <t>1S/N2/c1-2</t>
  </si>
  <si>
    <r>
      <t>N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</si>
  <si>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t>1S/F2/c1-2</t>
  </si>
  <si>
    <t>molecular fluorine</t>
  </si>
  <si>
    <t>molecular chlorine</t>
  </si>
  <si>
    <t>molecular bromine</t>
  </si>
  <si>
    <t>molecular Iodine</t>
  </si>
  <si>
    <t>1S/Cl2/c1-2</t>
  </si>
  <si>
    <t>1S/Br2/c1-2</t>
  </si>
  <si>
    <t>1S/I2/c1-2</t>
  </si>
  <si>
    <r>
      <t>F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</si>
  <si>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r>
      <t>Cl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</si>
  <si>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r>
      <t>Br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</si>
  <si>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r>
      <t>I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 xml:space="preserve"> (g)</t>
    </r>
  </si>
  <si>
    <t>1S/CH3/h1H3</t>
  </si>
  <si>
    <t>1S/C2H2/c1-2/h1-2H</t>
  </si>
  <si>
    <t>acetylene</t>
  </si>
  <si>
    <t>1S/CH4/h1H4</t>
  </si>
  <si>
    <t>methane</t>
  </si>
  <si>
    <t>ethene</t>
  </si>
  <si>
    <t>1S/C2H4/c1-2/h1-2H2</t>
  </si>
  <si>
    <t>1S/C2H3/c1-2/h1H,2H2</t>
  </si>
  <si>
    <t>Unique SMILE</t>
  </si>
  <si>
    <t>ethenyl</t>
  </si>
  <si>
    <t>1S/C2H5/c1-2/h1H2,2H3</t>
  </si>
  <si>
    <t>1S/C2H6/c1-2/h1-2H3</t>
  </si>
  <si>
    <t>ethane</t>
  </si>
  <si>
    <t>ethanyl</t>
  </si>
  <si>
    <t>Propa-1,2-diene</t>
  </si>
  <si>
    <t>1S/C3H4/c1-3-2/h1-2H2 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</si>
  <si>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 xml:space="preserve"> 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</si>
  <si>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</si>
  <si>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4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</si>
  <si>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3</t>
    </r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</si>
  <si>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2</t>
    </r>
  </si>
  <si>
    <r>
      <t>CH</t>
    </r>
    <r>
      <rPr>
        <vertAlign val="subscript"/>
        <sz val="11"/>
        <rFont val="Century"/>
        <family val="1"/>
      </rPr>
      <t>4</t>
    </r>
  </si>
  <si>
    <r>
      <t>CH</t>
    </r>
    <r>
      <rPr>
        <vertAlign val="subscript"/>
        <sz val="11"/>
        <rFont val="Century"/>
        <family val="1"/>
      </rPr>
      <t>3</t>
    </r>
  </si>
  <si>
    <t>0 K</t>
  </si>
  <si>
    <t>Uncertainty</t>
  </si>
  <si>
    <t>298 K</t>
  </si>
  <si>
    <t>prop-1-ene</t>
  </si>
  <si>
    <t>1S/C3H6/c1-3-2/h3H,1H2,2H3</t>
  </si>
  <si>
    <t>prop-1-yne</t>
  </si>
  <si>
    <t>1S/C3H4/c1-3-2/h1H,2H3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</si>
  <si>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4</t>
    </r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</si>
  <si>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8</t>
    </r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</si>
  <si>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</si>
  <si>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t>ATCT (kJ/mol)</t>
  </si>
  <si>
    <t>1S/C3H8/c1-3-2/h3H2,1-2H3</t>
  </si>
  <si>
    <t>propane</t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</si>
  <si>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5</t>
    </r>
  </si>
  <si>
    <t>C1=CC=CC=C1</t>
  </si>
  <si>
    <t>CC1=CC=CC=C1</t>
  </si>
  <si>
    <t>Toluene</t>
  </si>
  <si>
    <t>1S/C4H10/c1-3-4-2/h3-4H2,1-2H3</t>
  </si>
  <si>
    <r>
      <t>i-C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7</t>
    </r>
  </si>
  <si>
    <r>
      <t>n-C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7</t>
    </r>
  </si>
  <si>
    <t>2-methylpropane</t>
  </si>
  <si>
    <t>butane</t>
  </si>
  <si>
    <t>1S/C4H10/c1-4(2)3/h4H,1-3H3</t>
  </si>
  <si>
    <t>1S/C4H9/c1-3-4-2/h1,3-4H2,2H3</t>
  </si>
  <si>
    <t>n-butyl</t>
  </si>
  <si>
    <t>but-1-ene</t>
  </si>
  <si>
    <t>1S/C4H8/c1-3-4-2/h3H,1,4H2,2H3</t>
  </si>
  <si>
    <t>CCC=C</t>
  </si>
  <si>
    <t>cis but-2-ene</t>
  </si>
  <si>
    <t>trans but-2-ene</t>
  </si>
  <si>
    <t>Isobutene</t>
  </si>
  <si>
    <t>2-methylprop-1-ene</t>
  </si>
  <si>
    <t>1S/C4H8/c1-4(2)3/h1H2,2-3H3</t>
  </si>
  <si>
    <t>CC(C)=C</t>
  </si>
  <si>
    <t>cyclobutane</t>
  </si>
  <si>
    <t>C1CC1</t>
  </si>
  <si>
    <t>1S/C3H6/c1-2-3-1/h1-3H2</t>
  </si>
  <si>
    <t>cyclopropane</t>
  </si>
  <si>
    <t>1S/C4H8/c1-2-4-3-1/h1-4H2</t>
  </si>
  <si>
    <t>1,3-Butadiene</t>
  </si>
  <si>
    <t>C=CC=C</t>
  </si>
  <si>
    <t>but-1-yne</t>
  </si>
  <si>
    <t>1S/C4H6/c1-3-4-2/h1H,4H2,2H3</t>
  </si>
  <si>
    <t>1S/C4H6/c1-3-4-2/h1-2H3</t>
  </si>
  <si>
    <t>buta-1,3-diene</t>
  </si>
  <si>
    <t>1S/C4H6/c1-3-4-2/h3-4H,1-2H2</t>
  </si>
  <si>
    <t>1S/C4H6/c1-2-4-3-1/h1-2H,3-4H2</t>
  </si>
  <si>
    <t>C1CC=C1</t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</si>
  <si>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</si>
  <si>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t>n-Pentane</t>
  </si>
  <si>
    <t>CCCCC</t>
  </si>
  <si>
    <t>iso-Pentane</t>
  </si>
  <si>
    <t>CCC(C)C</t>
  </si>
  <si>
    <t>neo-Pentane</t>
  </si>
  <si>
    <t>CC(C)(C)C</t>
  </si>
  <si>
    <t>pentane</t>
  </si>
  <si>
    <t>1S/C5H12/c1-3-5-4-2/h3-5H2,1-2H3</t>
  </si>
  <si>
    <t>2-methylbutane</t>
  </si>
  <si>
    <t>1S/C5H12/c1-4-5(2)3/h5H,4H2,1-3H3</t>
  </si>
  <si>
    <t>2,2-dimethylpropane</t>
  </si>
  <si>
    <t>1S/C5H12/c1-5(2,3)4/h1-4H3</t>
  </si>
  <si>
    <t>cyclopentane</t>
  </si>
  <si>
    <t>C1CCCC1</t>
  </si>
  <si>
    <t>cyclopentene</t>
  </si>
  <si>
    <t>C1CC=CC1</t>
  </si>
  <si>
    <t>1S/C5H8/c1-2-4-5-3-1/h1-2H,3-5H2</t>
  </si>
  <si>
    <t>1S/C5H10/c1-2-4-5-3-1/h1-5H2</t>
  </si>
  <si>
    <r>
      <t>C</t>
    </r>
    <r>
      <rPr>
        <vertAlign val="subscript"/>
        <sz val="11"/>
        <rFont val="Century"/>
        <family val="1"/>
      </rPr>
      <t>2</t>
    </r>
    <r>
      <rPr>
        <sz val="11"/>
        <rFont val="Century"/>
        <family val="1"/>
      </rPr>
      <t>H</t>
    </r>
  </si>
  <si>
    <t>Ethynyl</t>
  </si>
  <si>
    <t>[C]#C</t>
  </si>
  <si>
    <t>1S/C2H/c1-2/h1H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</si>
  <si>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3</t>
    </r>
  </si>
  <si>
    <t>CC#[C]</t>
  </si>
  <si>
    <t>1S/C3H3/c1-3-2/h1H,2H2</t>
  </si>
  <si>
    <t>C1=[C]C1</t>
  </si>
  <si>
    <t>[CH]1C=C1</t>
  </si>
  <si>
    <t>Cyclopropene</t>
  </si>
  <si>
    <t>C1C=C1</t>
  </si>
  <si>
    <t>1-Methylethenyl</t>
  </si>
  <si>
    <t>C[C]=C</t>
  </si>
  <si>
    <t>C/C=[C\H]</t>
  </si>
  <si>
    <t>C/C=[C/H]</t>
  </si>
  <si>
    <t>[CH]1CC1</t>
  </si>
  <si>
    <r>
      <t>C</t>
    </r>
    <r>
      <rPr>
        <vertAlign val="subscript"/>
        <sz val="11"/>
        <rFont val="Century"/>
        <family val="1"/>
      </rPr>
      <t>3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5</t>
    </r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</si>
  <si>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8</t>
    </r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</si>
  <si>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9</t>
    </r>
  </si>
  <si>
    <r>
      <t>C</t>
    </r>
    <r>
      <rPr>
        <vertAlign val="subscript"/>
        <sz val="11"/>
        <rFont val="Century"/>
        <family val="1"/>
      </rPr>
      <t>4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10</t>
    </r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</si>
  <si>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8</t>
    </r>
  </si>
  <si>
    <t>Methylcyclopropane</t>
  </si>
  <si>
    <t>CC1CC1</t>
  </si>
  <si>
    <t>[CH2]CCC</t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</si>
  <si>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10</t>
    </r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</si>
  <si>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12</t>
    </r>
  </si>
  <si>
    <r>
      <t>C</t>
    </r>
    <r>
      <rPr>
        <vertAlign val="subscript"/>
        <sz val="11"/>
        <rFont val="Century"/>
        <family val="1"/>
      </rPr>
      <t>5</t>
    </r>
    <r>
      <rPr>
        <sz val="11"/>
        <rFont val="Century"/>
        <family val="1"/>
      </rPr>
      <t>H</t>
    </r>
    <r>
      <rPr>
        <vertAlign val="subscript"/>
        <sz val="11"/>
        <rFont val="Century"/>
        <family val="1"/>
      </rPr>
      <t>6</t>
    </r>
  </si>
  <si>
    <t>C1C=CC=C1</t>
  </si>
  <si>
    <t>C6H6</t>
  </si>
  <si>
    <t>Benzene</t>
  </si>
  <si>
    <t>C6H5</t>
  </si>
  <si>
    <t>C1[C]=CC=C1</t>
  </si>
  <si>
    <t>Phenyl</t>
  </si>
  <si>
    <t>C6H10</t>
  </si>
  <si>
    <t>1,5-Hexadiene</t>
  </si>
  <si>
    <t>C=CCCC=C</t>
  </si>
  <si>
    <t>C6H12</t>
  </si>
  <si>
    <t>C6H14</t>
  </si>
  <si>
    <t>C8H18</t>
  </si>
  <si>
    <t>C7H8</t>
  </si>
  <si>
    <t>2,2,4-Trimethylpentane</t>
  </si>
  <si>
    <t>CC(C)CC(C)(C)C</t>
  </si>
  <si>
    <t>C2H3O</t>
  </si>
  <si>
    <t>CHO2</t>
  </si>
  <si>
    <t>[O]C=C</t>
  </si>
  <si>
    <t>[CH]1CO1</t>
  </si>
  <si>
    <t>Carbon monoxide</t>
  </si>
  <si>
    <t>[C-]#[O+]</t>
  </si>
  <si>
    <t>Carbon dioxide</t>
  </si>
  <si>
    <t>CH2O</t>
  </si>
  <si>
    <t>CHO</t>
  </si>
  <si>
    <t>C2H4O</t>
  </si>
  <si>
    <t>C1CO1</t>
  </si>
  <si>
    <t>Vinyl alcohol (syn)</t>
  </si>
  <si>
    <t>C2H5O</t>
  </si>
  <si>
    <t>1-Hydroxyethyl</t>
  </si>
  <si>
    <t>2-Hydroxyethyl</t>
  </si>
  <si>
    <t>CH4O</t>
  </si>
  <si>
    <t>C2H6O</t>
  </si>
  <si>
    <t>Dimethyl ether</t>
  </si>
  <si>
    <t>Atomization</t>
  </si>
  <si>
    <t>CBS-QB3 (298 K)</t>
  </si>
  <si>
    <t>ATCT (kcal/mol)</t>
  </si>
  <si>
    <t>Update:</t>
  </si>
  <si>
    <t>C2H4O2</t>
  </si>
  <si>
    <t>Acetic acid (syn)</t>
  </si>
  <si>
    <t>Methyl formate (syn-staggered)</t>
  </si>
  <si>
    <t>COC=O</t>
  </si>
  <si>
    <t>OC=O</t>
  </si>
  <si>
    <t>CH2O2</t>
  </si>
  <si>
    <t>Methylperoxy</t>
  </si>
  <si>
    <t>CH3O2</t>
  </si>
  <si>
    <t>Methyl hydroperoxide</t>
  </si>
  <si>
    <t>CH4O2</t>
  </si>
  <si>
    <t>[C]O</t>
  </si>
  <si>
    <t>Hydroxymethylene (trans)</t>
  </si>
  <si>
    <t>[CH]O</t>
  </si>
  <si>
    <t>Methoxy</t>
  </si>
  <si>
    <t>CH3O</t>
  </si>
  <si>
    <t xml:space="preserve">Hydroxymethyl </t>
  </si>
  <si>
    <t>[CH2]O</t>
  </si>
  <si>
    <t>Formyloxidanyl</t>
  </si>
  <si>
    <t>O=C[O]</t>
  </si>
  <si>
    <t>Formic acid (syn)</t>
  </si>
  <si>
    <t>Dioxymethyl</t>
  </si>
  <si>
    <t>C1O1O</t>
  </si>
  <si>
    <t>C2H2O</t>
  </si>
  <si>
    <t>C2HO</t>
  </si>
  <si>
    <t>C2H6O2</t>
  </si>
  <si>
    <t>Ethylene glycol</t>
  </si>
  <si>
    <t>C3H8O</t>
  </si>
  <si>
    <t>1-Propanol</t>
  </si>
  <si>
    <t>2-Propanol</t>
  </si>
  <si>
    <t>C3H6O</t>
  </si>
  <si>
    <t>C4H6O2</t>
  </si>
  <si>
    <t>C4H6O4</t>
  </si>
  <si>
    <t>Succinic acid</t>
  </si>
  <si>
    <t>2,3-Butanedione</t>
  </si>
  <si>
    <t>C2O</t>
  </si>
  <si>
    <t>C2H2O2</t>
  </si>
  <si>
    <t>C3O2</t>
  </si>
  <si>
    <t>Tricarbon dioxide</t>
  </si>
  <si>
    <t>HO3</t>
  </si>
  <si>
    <t>H2O3</t>
  </si>
  <si>
    <t>O3</t>
  </si>
  <si>
    <t>AM1 (298 K)</t>
  </si>
  <si>
    <t>Propylene</t>
  </si>
  <si>
    <t>H2</t>
  </si>
  <si>
    <t xml:space="preserve">H </t>
  </si>
  <si>
    <t>CH</t>
  </si>
  <si>
    <t>CH2</t>
  </si>
  <si>
    <t>1,2-Propadiene-1,3-diylidene</t>
  </si>
  <si>
    <t>Propynylidene</t>
  </si>
  <si>
    <t>C3</t>
  </si>
  <si>
    <t>C3H2</t>
  </si>
  <si>
    <t>Ethynylene</t>
  </si>
  <si>
    <t>C2</t>
  </si>
  <si>
    <t>Propadienylidene</t>
  </si>
  <si>
    <t>iso-Butane</t>
  </si>
  <si>
    <t>Cyclobutane</t>
  </si>
  <si>
    <t>2-Propynylidyne</t>
  </si>
  <si>
    <t>C3H</t>
  </si>
  <si>
    <t>n-Hexane</t>
  </si>
  <si>
    <t>Ethylidene</t>
  </si>
  <si>
    <t>C2H4</t>
  </si>
  <si>
    <t>Cyclopentane</t>
  </si>
  <si>
    <t>Cyclopentene</t>
  </si>
  <si>
    <t>Vinylidene</t>
  </si>
  <si>
    <t>Ethylidyne</t>
  </si>
  <si>
    <t>C2H2</t>
  </si>
  <si>
    <t>C2H3</t>
  </si>
  <si>
    <t>n-Octane</t>
  </si>
  <si>
    <t>1,3-Butadiyne</t>
  </si>
  <si>
    <t>C4H2</t>
  </si>
  <si>
    <t>Cyclopropenylidene</t>
  </si>
  <si>
    <t>MSMC?</t>
  </si>
  <si>
    <t>cis more stable!</t>
  </si>
  <si>
    <t>HO</t>
  </si>
  <si>
    <t>CH2O3</t>
  </si>
  <si>
    <t>Benzaldehyde</t>
  </si>
  <si>
    <t>C7H6O</t>
  </si>
  <si>
    <t>Water dimer</t>
  </si>
  <si>
    <t>H4O2</t>
  </si>
  <si>
    <t>Water trimer</t>
  </si>
  <si>
    <t>H6O3</t>
  </si>
  <si>
    <t>Dicarbon monoxide (tri)</t>
  </si>
  <si>
    <t>Carbonic acid (cis-cis)</t>
  </si>
  <si>
    <t>Oxygen atom (tri)</t>
  </si>
  <si>
    <t>Dioxygen (tri)</t>
  </si>
  <si>
    <t>Water (para)</t>
  </si>
  <si>
    <t>Hydrogen peroxide (ortho)</t>
  </si>
  <si>
    <t>n-Heptane</t>
  </si>
  <si>
    <t>C7H16</t>
  </si>
  <si>
    <t>CCCCCCC</t>
  </si>
  <si>
    <t>HIR running</t>
  </si>
  <si>
    <t>Note</t>
  </si>
  <si>
    <t>Check Symmetry</t>
  </si>
  <si>
    <t>ok</t>
  </si>
  <si>
    <t>check symmetry</t>
  </si>
  <si>
    <t>Nhung (05/06/2018)</t>
  </si>
  <si>
    <t>DT (07/06/2018)</t>
  </si>
  <si>
    <t>.</t>
  </si>
  <si>
    <t>[C]=[C]</t>
  </si>
  <si>
    <t>Done - Symmetry = 1</t>
  </si>
  <si>
    <t xml:space="preserve">Symmetry = 2? </t>
  </si>
  <si>
    <t xml:space="preserve">AM1 input file lỗi </t>
  </si>
  <si>
    <t xml:space="preserve">No AM1 data yet </t>
  </si>
  <si>
    <t xml:space="preserve">No HIR file </t>
  </si>
  <si>
    <t xml:space="preserve">Symmetry = 8 - D4h, MSMC detect 11 </t>
  </si>
  <si>
    <t>-</t>
  </si>
  <si>
    <t xml:space="preserve">No MSMC file </t>
  </si>
  <si>
    <t xml:space="preserve">Symmetry = 12, MSMC detect 15 </t>
  </si>
  <si>
    <t xml:space="preserve">Chưa thấy folder </t>
  </si>
  <si>
    <t xml:space="preserve">Check MSMC input file </t>
  </si>
  <si>
    <t>Chưa có MSMC input</t>
  </si>
  <si>
    <t>Đã chạy AM1, chưa có file MSMC</t>
  </si>
  <si>
    <t>08/06/2018 - DT</t>
  </si>
  <si>
    <t xml:space="preserve">Do ket qua optimize giua AM1, CBS_QB3 ra 2 cau truc khac nhau </t>
  </si>
  <si>
    <t>Chưa có AM1 OPT</t>
  </si>
  <si>
    <t xml:space="preserve">OPT CBS-QB3, AM1 ra 2 cấu trúc khác nhau  </t>
  </si>
  <si>
    <t xml:space="preserve">ATcT </t>
  </si>
  <si>
    <t>ATcT - uncertainty</t>
  </si>
  <si>
    <t>CBSQB3</t>
  </si>
  <si>
    <t>AM1</t>
  </si>
  <si>
    <t>[CH]</t>
  </si>
  <si>
    <t>[CH2]</t>
  </si>
  <si>
    <t>[C]=C</t>
  </si>
  <si>
    <t>[C]C</t>
  </si>
  <si>
    <t>[CH]C</t>
  </si>
  <si>
    <t>[C]=C[C]</t>
  </si>
  <si>
    <t>[C]C[CH]</t>
  </si>
  <si>
    <t>[CH]C[CH]</t>
  </si>
  <si>
    <t>[C]=C=C</t>
  </si>
  <si>
    <t>[CH]=CC</t>
  </si>
  <si>
    <t>C#CC#C</t>
  </si>
  <si>
    <t>DT - CHECK - 12/06/2018</t>
  </si>
  <si>
    <t>No.</t>
  </si>
  <si>
    <t>Folder ID</t>
  </si>
  <si>
    <t>[CH]=C=[CH]</t>
  </si>
  <si>
    <t>[C]=C=[CH]</t>
  </si>
  <si>
    <t>[C]=C=[C]</t>
  </si>
  <si>
    <t>Ethylidene (triplet)</t>
  </si>
  <si>
    <t>Ethynylene (singlet)</t>
  </si>
  <si>
    <t>C1=C=C1</t>
  </si>
  <si>
    <t>no.</t>
  </si>
  <si>
    <r>
      <t>λ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-Methyl</t>
    </r>
  </si>
  <si>
    <r>
      <t>C</t>
    </r>
    <r>
      <rPr>
        <vertAlign val="subscript"/>
        <sz val="11"/>
        <color rgb="FFC00000"/>
        <rFont val="Arial"/>
        <family val="2"/>
      </rPr>
      <t>5</t>
    </r>
    <r>
      <rPr>
        <sz val="11"/>
        <color rgb="FFC00000"/>
        <rFont val="Arial"/>
        <family val="2"/>
      </rPr>
      <t>H</t>
    </r>
    <r>
      <rPr>
        <vertAlign val="subscript"/>
        <sz val="11"/>
        <color rgb="FFC00000"/>
        <rFont val="Arial"/>
        <family val="2"/>
      </rPr>
      <t>12</t>
    </r>
  </si>
  <si>
    <t>[O-][O+]=C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</si>
</sst>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scheme val="minor"/>
    </font>
    <font>
      <sz val="11"/>
      <name val="Century"/>
      <family val="1"/>
    </font>
    <font>
      <sz val="11"/>
      <color theme="1"/>
      <name val="Century"/>
      <family val="1"/>
    </font>
    <font>
      <sz val="18"/>
      <color theme="1"/>
      <name val="Century"/>
      <family val="1"/>
    </font>
    <font>
      <sz val="10"/>
      <color theme="1"/>
      <name val="Century"/>
      <family val="1"/>
    </font>
    <font>
      <i/>
      <sz val="11"/>
      <color rgb="FFFF0000"/>
      <name val="Century"/>
      <family val="1"/>
    </font>
    <font>
      <b/>
      <sz val="12"/>
      <color theme="0"/>
      <name val="Century"/>
      <family val="1"/>
    </font>
    <font>
      <sz val="12"/>
      <color theme="0"/>
      <name val="Century"/>
      <family val="1"/>
    </font>
    <font>
      <sz val="11"/>
      <color rgb="FFFF0000"/>
      <name val="Century"/>
      <family val="1"/>
    </font>
    <font>
      <b/>
      <sz val="12"/>
      <name val="Century"/>
      <family val="1"/>
    </font>
    <font>
      <sz val="12"/>
      <name val="Century"/>
      <family val="1"/>
    </font>
    <font>
      <b/>
      <sz val="18"/>
      <color rgb="FF2610FC"/>
      <name val="Century"/>
      <family val="1"/>
    </font>
    <font>
      <vertAlign val="subscript"/>
      <sz val="11"/>
      <name val="Century"/>
      <family val="1"/>
    </font>
    <font>
      <vertAlign val="superscript"/>
      <sz val="11"/>
      <name val="Century"/>
      <family val="1"/>
    </font>
    <font>
      <sz val="18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Century"/>
      <family val="1"/>
    </font>
    <font>
      <b/>
      <sz val="9"/>
      <color theme="0"/>
      <name val="Century"/>
      <family val="1"/>
    </font>
    <font>
      <b/>
      <sz val="11"/>
      <color rgb="FFFF0000"/>
      <name val="Century"/>
      <family val="1"/>
    </font>
    <font>
      <sz val="11"/>
      <color theme="0" tint="-0.34998626667073579"/>
      <name val="Century"/>
      <family val="1"/>
    </font>
    <font>
      <sz val="11"/>
      <color rgb="FF000080"/>
      <name val="Century"/>
      <family val="1"/>
    </font>
    <font>
      <b/>
      <sz val="11"/>
      <name val="Century"/>
      <family val="1"/>
    </font>
    <font>
      <b/>
      <sz val="11"/>
      <color theme="0"/>
      <name val="Century"/>
      <family val="1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1"/>
      <name val="Arial"/>
      <family val="2"/>
    </font>
    <font>
      <sz val="10"/>
      <color rgb="FFFF0000"/>
      <name val="Arial"/>
      <family val="2"/>
    </font>
    <font>
      <i/>
      <sz val="11"/>
      <color rgb="FFFF0000"/>
      <name val="Arial"/>
      <family val="2"/>
    </font>
    <font>
      <sz val="12"/>
      <color theme="0"/>
      <name val="Arial"/>
      <family val="2"/>
    </font>
    <font>
      <sz val="11"/>
      <name val="Arial"/>
      <family val="2"/>
    </font>
    <font>
      <b/>
      <sz val="12"/>
      <color theme="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0" tint="-0.49998474074526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0" tint="-0.34998626667073579"/>
      <name val="Arial"/>
      <family val="2"/>
    </font>
    <font>
      <sz val="9"/>
      <color theme="1"/>
      <name val="Century"/>
      <family val="1"/>
    </font>
    <font>
      <b/>
      <sz val="9"/>
      <name val="Century"/>
      <family val="1"/>
    </font>
    <font>
      <b/>
      <sz val="9"/>
      <color theme="0"/>
      <name val="Arial"/>
      <family val="2"/>
    </font>
    <font>
      <b/>
      <sz val="9"/>
      <color theme="0"/>
      <name val="Times New Roman"/>
      <family val="1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sz val="11"/>
      <color rgb="FFC00000"/>
      <name val="Arial"/>
      <family val="2"/>
    </font>
    <font>
      <vertAlign val="subscript"/>
      <sz val="11"/>
      <color rgb="FFC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306D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0"/>
      </right>
      <top style="medium">
        <color theme="1"/>
      </top>
      <bottom/>
      <diagonal/>
    </border>
    <border>
      <left style="thin">
        <color theme="0"/>
      </left>
      <right/>
      <top style="medium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Fill="1"/>
    <xf numFmtId="0" fontId="8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2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7" fillId="3" borderId="0" xfId="0" applyFont="1" applyFill="1" applyAlignment="1"/>
    <xf numFmtId="0" fontId="7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/>
    <xf numFmtId="0" fontId="6" fillId="3" borderId="0" xfId="0" applyFont="1" applyFill="1" applyBorder="1" applyAlignment="1"/>
    <xf numFmtId="0" fontId="7" fillId="3" borderId="0" xfId="0" applyFont="1" applyFill="1" applyBorder="1" applyAlignment="1"/>
    <xf numFmtId="0" fontId="5" fillId="0" borderId="0" xfId="0" applyFont="1" applyAlignment="1"/>
    <xf numFmtId="0" fontId="3" fillId="0" borderId="0" xfId="0" applyFont="1" applyAlignment="1"/>
    <xf numFmtId="0" fontId="11" fillId="0" borderId="0" xfId="0" applyFont="1" applyAlignment="1"/>
    <xf numFmtId="0" fontId="8" fillId="0" borderId="0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1" fillId="0" borderId="0" xfId="0" applyNumberFormat="1" applyFont="1" applyFill="1" applyAlignment="1">
      <alignment horizontal="center"/>
    </xf>
    <xf numFmtId="0" fontId="1" fillId="0" borderId="0" xfId="0" applyFont="1" applyFill="1"/>
    <xf numFmtId="2" fontId="1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Alignment="1"/>
    <xf numFmtId="0" fontId="10" fillId="0" borderId="0" xfId="0" applyFont="1" applyFill="1" applyAlignment="1"/>
    <xf numFmtId="0" fontId="14" fillId="0" borderId="0" xfId="0" applyFont="1" applyAlignment="1"/>
    <xf numFmtId="0" fontId="15" fillId="0" borderId="0" xfId="0" applyFont="1" applyAlignment="1">
      <alignment horizontal="left"/>
    </xf>
    <xf numFmtId="0" fontId="16" fillId="0" borderId="0" xfId="0" applyFont="1" applyAlignment="1"/>
    <xf numFmtId="0" fontId="18" fillId="3" borderId="0" xfId="0" applyFont="1" applyFill="1" applyBorder="1" applyAlignment="1"/>
    <xf numFmtId="0" fontId="19" fillId="0" borderId="0" xfId="0" applyFont="1" applyFill="1" applyBorder="1" applyAlignment="1">
      <alignment horizontal="left" vertical="center" wrapText="1"/>
    </xf>
    <xf numFmtId="2" fontId="19" fillId="0" borderId="0" xfId="0" applyNumberFormat="1" applyFont="1" applyFill="1" applyBorder="1" applyAlignment="1">
      <alignment horizontal="left" vertical="center" wrapText="1"/>
    </xf>
    <xf numFmtId="2" fontId="19" fillId="0" borderId="0" xfId="0" applyNumberFormat="1" applyFont="1" applyFill="1" applyAlignment="1">
      <alignment horizontal="left"/>
    </xf>
    <xf numFmtId="0" fontId="17" fillId="3" borderId="0" xfId="0" applyFont="1" applyFill="1" applyAlignment="1">
      <alignment horizontal="left" vertical="center"/>
    </xf>
    <xf numFmtId="0" fontId="20" fillId="0" borderId="0" xfId="0" applyFont="1" applyFill="1" applyBorder="1" applyAlignment="1">
      <alignment horizontal="left" vertical="center" wrapText="1"/>
    </xf>
    <xf numFmtId="2" fontId="20" fillId="0" borderId="0" xfId="0" applyNumberFormat="1" applyFont="1" applyFill="1" applyBorder="1" applyAlignment="1">
      <alignment horizontal="left" vertical="center" wrapText="1"/>
    </xf>
    <xf numFmtId="2" fontId="20" fillId="0" borderId="0" xfId="0" applyNumberFormat="1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19" fillId="0" borderId="0" xfId="0" applyFont="1"/>
    <xf numFmtId="2" fontId="19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0" fillId="0" borderId="0" xfId="0" applyFont="1"/>
    <xf numFmtId="0" fontId="21" fillId="0" borderId="0" xfId="0" applyFont="1"/>
    <xf numFmtId="2" fontId="21" fillId="0" borderId="0" xfId="0" applyNumberFormat="1" applyFont="1" applyAlignment="1">
      <alignment horizont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/>
    <xf numFmtId="0" fontId="1" fillId="0" borderId="0" xfId="0" applyFont="1" applyFill="1" applyAlignment="1">
      <alignment horizontal="left"/>
    </xf>
    <xf numFmtId="0" fontId="22" fillId="0" borderId="0" xfId="0" applyFont="1" applyAlignment="1">
      <alignment horizontal="right"/>
    </xf>
    <xf numFmtId="2" fontId="23" fillId="2" borderId="4" xfId="0" applyNumberFormat="1" applyFont="1" applyFill="1" applyBorder="1" applyAlignment="1">
      <alignment horizontal="center" vertical="center"/>
    </xf>
    <xf numFmtId="0" fontId="25" fillId="0" borderId="0" xfId="0" applyFont="1"/>
    <xf numFmtId="2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26" fillId="0" borderId="0" xfId="0" applyFont="1" applyFill="1"/>
    <xf numFmtId="2" fontId="24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2" fontId="1" fillId="0" borderId="0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/>
    </xf>
    <xf numFmtId="0" fontId="2" fillId="4" borderId="0" xfId="0" applyFont="1" applyFill="1"/>
    <xf numFmtId="2" fontId="1" fillId="0" borderId="0" xfId="0" applyNumberFormat="1" applyFont="1" applyFill="1" applyAlignment="1">
      <alignment horizontal="right" vertical="center"/>
    </xf>
    <xf numFmtId="0" fontId="2" fillId="5" borderId="0" xfId="0" applyFont="1" applyFill="1"/>
    <xf numFmtId="0" fontId="1" fillId="6" borderId="0" xfId="0" applyFont="1" applyFill="1" applyAlignment="1">
      <alignment horizontal="right" vertical="center"/>
    </xf>
    <xf numFmtId="2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2" fontId="24" fillId="0" borderId="0" xfId="0" applyNumberFormat="1" applyFont="1" applyFill="1" applyBorder="1" applyAlignment="1">
      <alignment horizontal="center" vertical="center" wrapText="1"/>
    </xf>
    <xf numFmtId="0" fontId="28" fillId="3" borderId="0" xfId="0" applyFont="1" applyFill="1" applyAlignment="1"/>
    <xf numFmtId="0" fontId="1" fillId="0" borderId="0" xfId="0" applyFont="1" applyFill="1" applyAlignment="1"/>
    <xf numFmtId="0" fontId="27" fillId="0" borderId="0" xfId="0" applyFont="1" applyFill="1" applyAlignment="1"/>
    <xf numFmtId="0" fontId="28" fillId="3" borderId="0" xfId="0" applyFont="1" applyFill="1" applyAlignment="1">
      <alignment vertical="center"/>
    </xf>
    <xf numFmtId="2" fontId="19" fillId="0" borderId="0" xfId="0" applyNumberFormat="1" applyFont="1" applyFill="1" applyAlignment="1">
      <alignment horizontal="right" vertical="center"/>
    </xf>
    <xf numFmtId="0" fontId="19" fillId="0" borderId="0" xfId="0" applyFont="1" applyFill="1" applyBorder="1" applyAlignment="1">
      <alignment horizontal="center" vertical="center" wrapText="1"/>
    </xf>
    <xf numFmtId="2" fontId="19" fillId="0" borderId="0" xfId="0" applyNumberFormat="1" applyFont="1" applyFill="1" applyBorder="1" applyAlignment="1">
      <alignment horizontal="right" vertical="center" wrapText="1"/>
    </xf>
    <xf numFmtId="0" fontId="21" fillId="0" borderId="0" xfId="0" applyFont="1" applyFill="1"/>
    <xf numFmtId="0" fontId="21" fillId="0" borderId="0" xfId="0" applyFont="1" applyFill="1" applyAlignment="1">
      <alignment horizontal="left"/>
    </xf>
    <xf numFmtId="0" fontId="19" fillId="0" borderId="0" xfId="0" applyFont="1" applyFill="1"/>
    <xf numFmtId="0" fontId="19" fillId="0" borderId="0" xfId="0" applyFont="1" applyFill="1" applyBorder="1" applyAlignment="1">
      <alignment vertical="center" wrapText="1"/>
    </xf>
    <xf numFmtId="0" fontId="19" fillId="0" borderId="0" xfId="0" applyFont="1" applyFill="1" applyAlignment="1">
      <alignment horizontal="left"/>
    </xf>
    <xf numFmtId="0" fontId="29" fillId="0" borderId="0" xfId="0" applyFont="1" applyFill="1" applyAlignment="1">
      <alignment horizontal="center" vertical="center"/>
    </xf>
    <xf numFmtId="0" fontId="32" fillId="0" borderId="0" xfId="0" applyFont="1" applyAlignment="1"/>
    <xf numFmtId="0" fontId="33" fillId="0" borderId="0" xfId="0" applyFont="1" applyAlignment="1">
      <alignment horizontal="left"/>
    </xf>
    <xf numFmtId="0" fontId="34" fillId="0" borderId="0" xfId="0" applyFont="1" applyAlignment="1"/>
    <xf numFmtId="0" fontId="35" fillId="3" borderId="0" xfId="0" applyFont="1" applyFill="1" applyBorder="1" applyAlignment="1"/>
    <xf numFmtId="0" fontId="36" fillId="0" borderId="0" xfId="0" applyFont="1" applyFill="1" applyBorder="1" applyAlignment="1">
      <alignment vertical="center" wrapText="1"/>
    </xf>
    <xf numFmtId="0" fontId="37" fillId="3" borderId="0" xfId="0" applyFont="1" applyFill="1" applyAlignment="1">
      <alignment vertical="center"/>
    </xf>
    <xf numFmtId="0" fontId="38" fillId="0" borderId="0" xfId="0" applyFont="1" applyFill="1" applyBorder="1" applyAlignment="1">
      <alignment vertical="center" wrapText="1"/>
    </xf>
    <xf numFmtId="0" fontId="37" fillId="3" borderId="0" xfId="0" applyFont="1" applyFill="1" applyAlignment="1"/>
    <xf numFmtId="0" fontId="39" fillId="6" borderId="0" xfId="0" applyFont="1" applyFill="1"/>
    <xf numFmtId="0" fontId="36" fillId="7" borderId="0" xfId="0" applyFont="1" applyFill="1"/>
    <xf numFmtId="0" fontId="36" fillId="7" borderId="0" xfId="0" applyFont="1" applyFill="1" applyBorder="1" applyAlignment="1">
      <alignment vertical="center" wrapText="1"/>
    </xf>
    <xf numFmtId="0" fontId="39" fillId="0" borderId="0" xfId="0" applyFont="1" applyFill="1"/>
    <xf numFmtId="0" fontId="36" fillId="0" borderId="0" xfId="0" applyFont="1" applyFill="1"/>
    <xf numFmtId="0" fontId="38" fillId="0" borderId="0" xfId="0" applyFont="1" applyFill="1"/>
    <xf numFmtId="0" fontId="40" fillId="0" borderId="0" xfId="0" applyFont="1" applyFill="1"/>
    <xf numFmtId="0" fontId="36" fillId="7" borderId="0" xfId="0" applyFont="1" applyFill="1" applyBorder="1" applyAlignment="1">
      <alignment horizontal="left" vertical="center" wrapText="1"/>
    </xf>
    <xf numFmtId="0" fontId="40" fillId="0" borderId="0" xfId="0" applyFont="1" applyFill="1" applyBorder="1" applyAlignment="1">
      <alignment vertical="center" wrapText="1"/>
    </xf>
    <xf numFmtId="0" fontId="41" fillId="0" borderId="0" xfId="0" applyFont="1" applyFill="1" applyAlignment="1"/>
    <xf numFmtId="0" fontId="42" fillId="0" borderId="0" xfId="0" applyFont="1" applyFill="1" applyAlignment="1"/>
    <xf numFmtId="0" fontId="39" fillId="7" borderId="0" xfId="0" applyFont="1" applyFill="1"/>
    <xf numFmtId="0" fontId="39" fillId="6" borderId="0" xfId="0" applyFont="1" applyFill="1" applyAlignment="1">
      <alignment horizontal="left" vertical="center"/>
    </xf>
    <xf numFmtId="0" fontId="39" fillId="6" borderId="0" xfId="0" applyFont="1" applyFill="1" applyAlignment="1">
      <alignment horizontal="left"/>
    </xf>
    <xf numFmtId="0" fontId="39" fillId="0" borderId="0" xfId="0" applyFont="1" applyFill="1" applyAlignment="1">
      <alignment horizontal="left"/>
    </xf>
    <xf numFmtId="0" fontId="40" fillId="0" borderId="0" xfId="0" applyFont="1" applyFill="1" applyAlignment="1">
      <alignment horizontal="left"/>
    </xf>
    <xf numFmtId="0" fontId="39" fillId="0" borderId="0" xfId="0" applyFont="1"/>
    <xf numFmtId="0" fontId="43" fillId="0" borderId="0" xfId="0" applyFont="1"/>
    <xf numFmtId="0" fontId="36" fillId="0" borderId="0" xfId="0" applyFont="1"/>
    <xf numFmtId="0" fontId="35" fillId="3" borderId="0" xfId="0" applyFont="1" applyFill="1" applyAlignment="1">
      <alignment vertical="center"/>
    </xf>
    <xf numFmtId="0" fontId="36" fillId="0" borderId="0" xfId="0" applyFont="1" applyAlignment="1">
      <alignment vertical="center"/>
    </xf>
    <xf numFmtId="0" fontId="35" fillId="3" borderId="0" xfId="0" applyFont="1" applyFill="1" applyAlignment="1"/>
    <xf numFmtId="0" fontId="38" fillId="0" borderId="0" xfId="0" applyFont="1"/>
    <xf numFmtId="0" fontId="1" fillId="0" borderId="0" xfId="0" applyFont="1" applyFill="1" applyAlignment="1">
      <alignment horizontal="center"/>
    </xf>
    <xf numFmtId="0" fontId="44" fillId="0" borderId="0" xfId="0" applyFont="1"/>
    <xf numFmtId="0" fontId="23" fillId="2" borderId="2" xfId="0" applyFont="1" applyFill="1" applyBorder="1" applyAlignment="1">
      <alignment horizontal="center" vertical="center"/>
    </xf>
    <xf numFmtId="2" fontId="23" fillId="2" borderId="2" xfId="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horizontal="center"/>
    </xf>
    <xf numFmtId="0" fontId="23" fillId="2" borderId="4" xfId="0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 wrapText="1"/>
    </xf>
    <xf numFmtId="2" fontId="47" fillId="2" borderId="2" xfId="0" applyNumberFormat="1" applyFont="1" applyFill="1" applyBorder="1" applyAlignment="1">
      <alignment horizontal="center" vertical="center" wrapText="1"/>
    </xf>
    <xf numFmtId="2" fontId="47" fillId="2" borderId="8" xfId="0" applyNumberFormat="1" applyFont="1" applyFill="1" applyBorder="1" applyAlignment="1">
      <alignment vertical="center" wrapText="1"/>
    </xf>
    <xf numFmtId="0" fontId="48" fillId="0" borderId="0" xfId="0" applyFont="1" applyAlignment="1">
      <alignment horizontal="left"/>
    </xf>
    <xf numFmtId="2" fontId="46" fillId="2" borderId="2" xfId="0" applyNumberFormat="1" applyFont="1" applyFill="1" applyBorder="1" applyAlignment="1">
      <alignment vertical="center"/>
    </xf>
    <xf numFmtId="2" fontId="46" fillId="2" borderId="2" xfId="0" applyNumberFormat="1" applyFont="1" applyFill="1" applyBorder="1" applyAlignment="1">
      <alignment horizontal="center" vertical="center"/>
    </xf>
    <xf numFmtId="2" fontId="46" fillId="2" borderId="2" xfId="0" applyNumberFormat="1" applyFont="1" applyFill="1" applyBorder="1" applyAlignment="1">
      <alignment horizontal="center" vertical="center" wrapText="1"/>
    </xf>
    <xf numFmtId="2" fontId="46" fillId="2" borderId="8" xfId="0" applyNumberFormat="1" applyFont="1" applyFill="1" applyBorder="1" applyAlignment="1">
      <alignment vertical="center" wrapText="1"/>
    </xf>
    <xf numFmtId="2" fontId="46" fillId="2" borderId="10" xfId="0" applyNumberFormat="1" applyFont="1" applyFill="1" applyBorder="1" applyAlignment="1">
      <alignment vertical="center"/>
    </xf>
    <xf numFmtId="2" fontId="46" fillId="2" borderId="4" xfId="0" applyNumberFormat="1" applyFont="1" applyFill="1" applyBorder="1" applyAlignment="1">
      <alignment horizontal="center" vertical="center"/>
    </xf>
    <xf numFmtId="2" fontId="46" fillId="2" borderId="9" xfId="0" applyNumberFormat="1" applyFont="1" applyFill="1" applyBorder="1" applyAlignment="1">
      <alignment horizontal="center" vertical="center"/>
    </xf>
    <xf numFmtId="2" fontId="36" fillId="0" borderId="0" xfId="0" applyNumberFormat="1" applyFont="1" applyFill="1" applyAlignment="1">
      <alignment horizontal="left"/>
    </xf>
    <xf numFmtId="2" fontId="36" fillId="0" borderId="0" xfId="0" applyNumberFormat="1" applyFont="1" applyFill="1" applyAlignment="1">
      <alignment horizontal="center"/>
    </xf>
    <xf numFmtId="0" fontId="37" fillId="3" borderId="0" xfId="0" applyFont="1" applyFill="1" applyAlignment="1">
      <alignment horizontal="left" vertical="center"/>
    </xf>
    <xf numFmtId="2" fontId="38" fillId="0" borderId="0" xfId="0" applyNumberFormat="1" applyFont="1" applyFill="1" applyAlignment="1">
      <alignment horizontal="left"/>
    </xf>
    <xf numFmtId="2" fontId="38" fillId="0" borderId="0" xfId="0" applyNumberFormat="1" applyFont="1" applyFill="1" applyAlignment="1">
      <alignment horizontal="center"/>
    </xf>
    <xf numFmtId="0" fontId="37" fillId="3" borderId="0" xfId="0" applyFont="1" applyFill="1" applyAlignment="1">
      <alignment horizontal="left"/>
    </xf>
    <xf numFmtId="2" fontId="36" fillId="0" borderId="0" xfId="0" applyNumberFormat="1" applyFont="1" applyFill="1" applyBorder="1" applyAlignment="1">
      <alignment horizontal="left" vertical="center" wrapText="1"/>
    </xf>
    <xf numFmtId="2" fontId="36" fillId="0" borderId="0" xfId="0" applyNumberFormat="1" applyFont="1" applyFill="1" applyAlignment="1">
      <alignment horizontal="left" vertical="center"/>
    </xf>
    <xf numFmtId="2" fontId="39" fillId="0" borderId="0" xfId="0" applyNumberFormat="1" applyFont="1" applyFill="1" applyBorder="1" applyAlignment="1">
      <alignment horizontal="left" vertical="center" wrapText="1"/>
    </xf>
    <xf numFmtId="2" fontId="36" fillId="0" borderId="0" xfId="0" applyNumberFormat="1" applyFont="1" applyFill="1" applyBorder="1" applyAlignment="1">
      <alignment horizontal="left" vertical="center"/>
    </xf>
    <xf numFmtId="2" fontId="38" fillId="0" borderId="0" xfId="0" applyNumberFormat="1" applyFont="1" applyFill="1" applyAlignment="1">
      <alignment horizontal="left" vertical="center"/>
    </xf>
    <xf numFmtId="0" fontId="36" fillId="6" borderId="0" xfId="0" applyFont="1" applyFill="1" applyAlignment="1">
      <alignment horizontal="left" vertical="center"/>
    </xf>
    <xf numFmtId="0" fontId="36" fillId="0" borderId="0" xfId="0" applyFont="1" applyFill="1" applyBorder="1" applyAlignment="1">
      <alignment horizontal="left" vertical="center" wrapText="1"/>
    </xf>
    <xf numFmtId="0" fontId="50" fillId="3" borderId="0" xfId="0" applyFont="1" applyFill="1" applyAlignment="1"/>
    <xf numFmtId="0" fontId="36" fillId="0" borderId="0" xfId="0" applyFont="1" applyFill="1" applyAlignment="1"/>
    <xf numFmtId="0" fontId="51" fillId="0" borderId="0" xfId="0" applyFont="1" applyFill="1" applyAlignment="1"/>
    <xf numFmtId="0" fontId="50" fillId="3" borderId="0" xfId="0" applyFont="1" applyFill="1" applyAlignment="1">
      <alignment vertical="center"/>
    </xf>
    <xf numFmtId="2" fontId="36" fillId="0" borderId="0" xfId="0" applyNumberFormat="1" applyFont="1" applyFill="1" applyBorder="1" applyAlignment="1">
      <alignment horizontal="right" vertical="center" wrapText="1"/>
    </xf>
    <xf numFmtId="2" fontId="39" fillId="0" borderId="0" xfId="0" applyNumberFormat="1" applyFont="1" applyFill="1" applyAlignment="1">
      <alignment horizontal="right" vertical="center"/>
    </xf>
    <xf numFmtId="2" fontId="36" fillId="0" borderId="0" xfId="0" applyNumberFormat="1" applyFont="1" applyFill="1" applyAlignment="1">
      <alignment horizontal="right" vertical="center"/>
    </xf>
    <xf numFmtId="2" fontId="49" fillId="4" borderId="0" xfId="0" applyNumberFormat="1" applyFont="1" applyFill="1" applyAlignment="1">
      <alignment horizontal="right" vertical="center"/>
    </xf>
    <xf numFmtId="0" fontId="36" fillId="6" borderId="0" xfId="0" applyFont="1" applyFill="1" applyAlignment="1">
      <alignment horizontal="right" vertical="center"/>
    </xf>
    <xf numFmtId="2" fontId="39" fillId="0" borderId="0" xfId="0" applyNumberFormat="1" applyFont="1" applyAlignment="1">
      <alignment horizontal="center"/>
    </xf>
    <xf numFmtId="2" fontId="43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2" fontId="36" fillId="4" borderId="0" xfId="0" applyNumberFormat="1" applyFont="1" applyFill="1" applyAlignment="1">
      <alignment horizontal="center"/>
    </xf>
    <xf numFmtId="2" fontId="38" fillId="0" borderId="0" xfId="0" applyNumberFormat="1" applyFont="1" applyAlignment="1">
      <alignment horizontal="center"/>
    </xf>
    <xf numFmtId="0" fontId="46" fillId="2" borderId="2" xfId="0" applyFont="1" applyFill="1" applyBorder="1" applyAlignment="1">
      <alignment horizontal="center" vertical="center"/>
    </xf>
    <xf numFmtId="0" fontId="46" fillId="2" borderId="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vertical="center" wrapText="1"/>
    </xf>
    <xf numFmtId="2" fontId="36" fillId="6" borderId="0" xfId="0" applyNumberFormat="1" applyFont="1" applyFill="1" applyBorder="1" applyAlignment="1">
      <alignment horizontal="left" vertical="center" wrapText="1"/>
    </xf>
    <xf numFmtId="2" fontId="36" fillId="6" borderId="0" xfId="0" applyNumberFormat="1" applyFont="1" applyFill="1" applyAlignment="1">
      <alignment horizontal="left" vertical="center"/>
    </xf>
    <xf numFmtId="2" fontId="53" fillId="0" borderId="0" xfId="0" applyNumberFormat="1" applyFont="1" applyFill="1" applyAlignment="1">
      <alignment horizontal="left" vertical="center"/>
    </xf>
    <xf numFmtId="0" fontId="53" fillId="8" borderId="0" xfId="0" applyFont="1" applyFill="1" applyBorder="1" applyAlignment="1">
      <alignment vertical="center" wrapText="1"/>
    </xf>
    <xf numFmtId="0" fontId="53" fillId="8" borderId="0" xfId="0" applyFont="1" applyFill="1" applyBorder="1" applyAlignment="1">
      <alignment horizontal="left" vertical="center" wrapText="1"/>
    </xf>
    <xf numFmtId="2" fontId="53" fillId="8" borderId="0" xfId="0" applyNumberFormat="1" applyFont="1" applyFill="1" applyBorder="1" applyAlignment="1">
      <alignment horizontal="left" vertical="center" wrapText="1"/>
    </xf>
    <xf numFmtId="2" fontId="53" fillId="8" borderId="0" xfId="0" applyNumberFormat="1" applyFont="1" applyFill="1" applyAlignment="1">
      <alignment horizontal="left" vertical="center"/>
    </xf>
    <xf numFmtId="0" fontId="36" fillId="6" borderId="0" xfId="0" applyFont="1" applyFill="1"/>
    <xf numFmtId="0" fontId="36" fillId="6" borderId="0" xfId="0" applyFont="1" applyFill="1" applyAlignment="1">
      <alignment horizontal="center"/>
    </xf>
    <xf numFmtId="0" fontId="36" fillId="6" borderId="0" xfId="0" applyFont="1" applyFill="1" applyBorder="1" applyAlignment="1">
      <alignment horizontal="center" vertical="center" wrapText="1"/>
    </xf>
    <xf numFmtId="0" fontId="36" fillId="6" borderId="0" xfId="0" applyFont="1" applyFill="1" applyBorder="1" applyAlignment="1">
      <alignment horizontal="left" vertical="center" wrapText="1"/>
    </xf>
    <xf numFmtId="2" fontId="36" fillId="6" borderId="0" xfId="0" applyNumberFormat="1" applyFont="1" applyFill="1" applyBorder="1" applyAlignment="1">
      <alignment horizontal="center" vertical="center" wrapText="1"/>
    </xf>
    <xf numFmtId="0" fontId="38" fillId="6" borderId="0" xfId="0" applyFont="1" applyFill="1"/>
    <xf numFmtId="0" fontId="36" fillId="0" borderId="0" xfId="0" applyFont="1" applyFill="1" applyAlignment="1">
      <alignment horizontal="center"/>
    </xf>
    <xf numFmtId="0" fontId="36" fillId="0" borderId="0" xfId="0" applyFont="1" applyFill="1" applyBorder="1" applyAlignment="1">
      <alignment horizontal="center" vertical="center" wrapText="1"/>
    </xf>
    <xf numFmtId="2" fontId="36" fillId="0" borderId="0" xfId="0" applyNumberFormat="1" applyFont="1" applyFill="1" applyBorder="1" applyAlignment="1">
      <alignment horizontal="center" vertical="center" wrapText="1"/>
    </xf>
    <xf numFmtId="2" fontId="49" fillId="0" borderId="0" xfId="0" applyNumberFormat="1" applyFont="1" applyFill="1" applyBorder="1" applyAlignment="1">
      <alignment horizontal="center" vertical="center" wrapText="1"/>
    </xf>
    <xf numFmtId="2" fontId="51" fillId="6" borderId="0" xfId="0" applyNumberFormat="1" applyFont="1" applyFill="1" applyBorder="1" applyAlignment="1">
      <alignment horizontal="center" vertical="center" wrapText="1"/>
    </xf>
    <xf numFmtId="0" fontId="53" fillId="8" borderId="0" xfId="0" applyFont="1" applyFill="1" applyAlignment="1">
      <alignment horizontal="center"/>
    </xf>
    <xf numFmtId="0" fontId="53" fillId="8" borderId="0" xfId="0" applyFont="1" applyFill="1" applyBorder="1" applyAlignment="1">
      <alignment horizontal="center" vertical="center" wrapText="1"/>
    </xf>
    <xf numFmtId="2" fontId="53" fillId="8" borderId="0" xfId="0" applyNumberFormat="1" applyFont="1" applyFill="1" applyBorder="1" applyAlignment="1">
      <alignment horizontal="center" vertical="center" wrapText="1"/>
    </xf>
    <xf numFmtId="0" fontId="53" fillId="8" borderId="0" xfId="0" applyFont="1" applyFill="1"/>
    <xf numFmtId="0" fontId="25" fillId="0" borderId="0" xfId="0" applyFont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2" fontId="46" fillId="2" borderId="2" xfId="0" applyNumberFormat="1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right" vertical="center"/>
    </xf>
    <xf numFmtId="0" fontId="45" fillId="2" borderId="3" xfId="0" applyFont="1" applyFill="1" applyBorder="1" applyAlignment="1">
      <alignment horizontal="right" vertical="center"/>
    </xf>
    <xf numFmtId="0" fontId="46" fillId="2" borderId="2" xfId="0" applyFont="1" applyFill="1" applyBorder="1" applyAlignment="1">
      <alignment horizontal="center" vertical="center"/>
    </xf>
    <xf numFmtId="0" fontId="46" fillId="2" borderId="4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47" fillId="2" borderId="5" xfId="0" applyFont="1" applyFill="1" applyBorder="1" applyAlignment="1">
      <alignment horizontal="center" vertical="center"/>
    </xf>
    <xf numFmtId="0" fontId="47" fillId="2" borderId="6" xfId="0" applyFont="1" applyFill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/>
    </xf>
    <xf numFmtId="0" fontId="47" fillId="2" borderId="5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  <xf numFmtId="0" fontId="47" fillId="2" borderId="7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left" vertical="center" wrapText="1"/>
    </xf>
    <xf numFmtId="0" fontId="38" fillId="0" borderId="0" xfId="0" applyFont="1" applyFill="1" applyBorder="1" applyAlignment="1">
      <alignment horizontal="center" vertical="center" wrapText="1"/>
    </xf>
    <xf numFmtId="0" fontId="39" fillId="0" borderId="0" xfId="0" applyFont="1" applyFill="1" applyAlignment="1">
      <alignment horizontal="left" vertical="center"/>
    </xf>
    <xf numFmtId="2" fontId="38" fillId="6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610FC"/>
      <color rgb="FF2306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ct.anl.gov/Thermochemical%20Data/version%201.122/species/?species_number=119" TargetMode="External"/><Relationship Id="rId13" Type="http://schemas.openxmlformats.org/officeDocument/2006/relationships/hyperlink" Target="https://atct.anl.gov/Thermochemical%20Data/version%201.122/species/?species_number=374" TargetMode="External"/><Relationship Id="rId18" Type="http://schemas.openxmlformats.org/officeDocument/2006/relationships/hyperlink" Target="https://atct.anl.gov/Thermochemical%20Data/version%201.122/species/?species_number=1160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s://atct.anl.gov/Thermochemical%20Data/version%201.122/species/?species_number=445" TargetMode="External"/><Relationship Id="rId21" Type="http://schemas.openxmlformats.org/officeDocument/2006/relationships/hyperlink" Target="https://atct.anl.gov/Thermochemical%20Data/version%201.122/species/?species_number=204" TargetMode="External"/><Relationship Id="rId7" Type="http://schemas.openxmlformats.org/officeDocument/2006/relationships/hyperlink" Target="https://atct.anl.gov/Thermochemical%20Data/version%201.122/species/?species_number=329" TargetMode="External"/><Relationship Id="rId12" Type="http://schemas.openxmlformats.org/officeDocument/2006/relationships/hyperlink" Target="https://atct.anl.gov/Thermochemical%20Data/version%201.122/species/?species_number=439" TargetMode="External"/><Relationship Id="rId17" Type="http://schemas.openxmlformats.org/officeDocument/2006/relationships/hyperlink" Target="https://atct.anl.gov/Thermochemical%20Data/version%201.122/species/?species_number=330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https://atct.anl.gov/Thermochemical%20Data/version%201.122/species/?species_number=151" TargetMode="External"/><Relationship Id="rId16" Type="http://schemas.openxmlformats.org/officeDocument/2006/relationships/hyperlink" Target="https://atct.anl.gov/Thermochemical%20Data/version%201.122/species/?species_number=234" TargetMode="External"/><Relationship Id="rId20" Type="http://schemas.openxmlformats.org/officeDocument/2006/relationships/hyperlink" Target="https://atct.anl.gov/Thermochemical%20Data/version%201.122/species/?species_number=52" TargetMode="External"/><Relationship Id="rId1" Type="http://schemas.openxmlformats.org/officeDocument/2006/relationships/hyperlink" Target="https://atct.anl.gov/Thermochemical%20Data/version%201.122/species/?species_number=229" TargetMode="External"/><Relationship Id="rId6" Type="http://schemas.openxmlformats.org/officeDocument/2006/relationships/hyperlink" Target="https://atct.anl.gov/Thermochemical%20Data/version%201.122/species/?species_number=286" TargetMode="External"/><Relationship Id="rId11" Type="http://schemas.openxmlformats.org/officeDocument/2006/relationships/hyperlink" Target="https://atct.anl.gov/Thermochemical%20Data/version%201.122/species/?species_number=438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atct.anl.gov/Thermochemical%20Data/version%201.122/species/?species_number=173" TargetMode="External"/><Relationship Id="rId15" Type="http://schemas.openxmlformats.org/officeDocument/2006/relationships/hyperlink" Target="https://atct.anl.gov/Thermochemical%20Data/version%201.122/species/?species_number=444" TargetMode="External"/><Relationship Id="rId23" Type="http://schemas.openxmlformats.org/officeDocument/2006/relationships/hyperlink" Target="https://atct.anl.gov/Thermochemical%20Data/version%201.122/species/?species_number=216" TargetMode="External"/><Relationship Id="rId10" Type="http://schemas.openxmlformats.org/officeDocument/2006/relationships/hyperlink" Target="https://atct.anl.gov/Thermochemical%20Data/version%201.122/species/?species_number=281" TargetMode="External"/><Relationship Id="rId19" Type="http://schemas.openxmlformats.org/officeDocument/2006/relationships/hyperlink" Target="https://atct.anl.gov/Thermochemical%20Data/version%201.122/species/?species_number=50" TargetMode="External"/><Relationship Id="rId4" Type="http://schemas.openxmlformats.org/officeDocument/2006/relationships/hyperlink" Target="https://atct.anl.gov/Thermochemical%20Data/version%201.122/species/?species_number=445" TargetMode="External"/><Relationship Id="rId9" Type="http://schemas.openxmlformats.org/officeDocument/2006/relationships/hyperlink" Target="https://atct.anl.gov/Thermochemical%20Data/version%201.122/species/?species_number=101" TargetMode="External"/><Relationship Id="rId14" Type="http://schemas.openxmlformats.org/officeDocument/2006/relationships/hyperlink" Target="https://atct.anl.gov/Thermochemical%20Data/version%201.122/species/?species_number=437" TargetMode="External"/><Relationship Id="rId22" Type="http://schemas.openxmlformats.org/officeDocument/2006/relationships/hyperlink" Target="https://atct.anl.gov/Thermochemical%20Data/version%201.122/species/?species_number=20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tct.anl.gov/Thermochemical%20Data/version%201.122/species/?species_number=281" TargetMode="External"/><Relationship Id="rId13" Type="http://schemas.openxmlformats.org/officeDocument/2006/relationships/hyperlink" Target="https://atct.anl.gov/Thermochemical%20Data/version%201.122/species/?species_number=234" TargetMode="External"/><Relationship Id="rId3" Type="http://schemas.openxmlformats.org/officeDocument/2006/relationships/hyperlink" Target="https://atct.anl.gov/Thermochemical%20Data/version%201.122/species/?species_number=445" TargetMode="External"/><Relationship Id="rId7" Type="http://schemas.openxmlformats.org/officeDocument/2006/relationships/hyperlink" Target="https://atct.anl.gov/Thermochemical%20Data/version%201.122/species/?species_number=101" TargetMode="External"/><Relationship Id="rId12" Type="http://schemas.openxmlformats.org/officeDocument/2006/relationships/hyperlink" Target="https://atct.anl.gov/Thermochemical%20Data/version%201.122/species/?species_number=444" TargetMode="External"/><Relationship Id="rId2" Type="http://schemas.openxmlformats.org/officeDocument/2006/relationships/hyperlink" Target="https://atct.anl.gov/Thermochemical%20Data/version%201.122/species/?species_number=151" TargetMode="External"/><Relationship Id="rId1" Type="http://schemas.openxmlformats.org/officeDocument/2006/relationships/hyperlink" Target="https://atct.anl.gov/Thermochemical%20Data/version%201.122/species/?species_number=229" TargetMode="External"/><Relationship Id="rId6" Type="http://schemas.openxmlformats.org/officeDocument/2006/relationships/hyperlink" Target="https://atct.anl.gov/Thermochemical%20Data/version%201.122/species/?species_number=119" TargetMode="External"/><Relationship Id="rId11" Type="http://schemas.openxmlformats.org/officeDocument/2006/relationships/hyperlink" Target="https://atct.anl.gov/Thermochemical%20Data/version%201.122/species/?species_number=437" TargetMode="External"/><Relationship Id="rId5" Type="http://schemas.openxmlformats.org/officeDocument/2006/relationships/hyperlink" Target="https://atct.anl.gov/Thermochemical%20Data/version%201.122/species/?species_number=286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atct.anl.gov/Thermochemical%20Data/version%201.122/species/?species_number=374" TargetMode="External"/><Relationship Id="rId4" Type="http://schemas.openxmlformats.org/officeDocument/2006/relationships/hyperlink" Target="https://atct.anl.gov/Thermochemical%20Data/version%201.122/species/?species_number=173" TargetMode="External"/><Relationship Id="rId9" Type="http://schemas.openxmlformats.org/officeDocument/2006/relationships/hyperlink" Target="https://atct.anl.gov/Thermochemical%20Data/version%201.122/species/?species_number=438" TargetMode="External"/><Relationship Id="rId14" Type="http://schemas.openxmlformats.org/officeDocument/2006/relationships/hyperlink" Target="https://atct.anl.gov/Thermochemical%20Data/version%201.122/species/?species_number=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37"/>
  <sheetViews>
    <sheetView tabSelected="1" zoomScaleNormal="100" workbookViewId="0">
      <pane ySplit="5" topLeftCell="A81" activePane="bottomLeft" state="frozen"/>
      <selection pane="bottomLeft" activeCell="V93" sqref="V93"/>
    </sheetView>
  </sheetViews>
  <sheetFormatPr defaultColWidth="8.88671875" defaultRowHeight="13.8" outlineLevelRow="1" x14ac:dyDescent="0.25"/>
  <cols>
    <col min="1" max="1" width="8.88671875" style="3"/>
    <col min="2" max="2" width="7.109375" style="8" customWidth="1"/>
    <col min="3" max="3" width="35.33203125" style="116" bestFit="1" customWidth="1"/>
    <col min="4" max="4" width="24.109375" style="116" customWidth="1"/>
    <col min="5" max="5" width="38.109375" style="3" hidden="1" customWidth="1"/>
    <col min="6" max="6" width="15.88671875" style="3" customWidth="1"/>
    <col min="7" max="7" width="20.77734375" style="116" customWidth="1"/>
    <col min="8" max="8" width="11" style="54" hidden="1" customWidth="1"/>
    <col min="9" max="9" width="10.6640625" style="55" hidden="1" customWidth="1"/>
    <col min="10" max="10" width="14.5546875" style="55" hidden="1" customWidth="1"/>
    <col min="11" max="11" width="9.109375" style="55" hidden="1" customWidth="1"/>
    <col min="12" max="12" width="9.5546875" style="162" bestFit="1" customWidth="1"/>
    <col min="13" max="13" width="10.44140625" style="162" customWidth="1"/>
    <col min="14" max="14" width="13.77734375" style="162" customWidth="1"/>
    <col min="15" max="15" width="10.5546875" style="162" hidden="1" customWidth="1"/>
    <col min="16" max="16" width="7.88671875" style="162" hidden="1" customWidth="1"/>
    <col min="17" max="17" width="13.44140625" style="162" hidden="1" customWidth="1"/>
    <col min="18" max="18" width="7.88671875" style="162" hidden="1" customWidth="1"/>
    <col min="19" max="19" width="13.44140625" style="162" hidden="1" customWidth="1"/>
    <col min="20" max="20" width="7.88671875" style="162" hidden="1" customWidth="1"/>
    <col min="21" max="21" width="13.44140625" style="162" hidden="1" customWidth="1"/>
    <col min="22" max="22" width="11.77734375" style="116" customWidth="1"/>
    <col min="23" max="23" width="12.33203125" style="3" customWidth="1"/>
    <col min="24" max="24" width="18.44140625" style="3" bestFit="1" customWidth="1"/>
    <col min="25" max="25" width="14.6640625" style="3" bestFit="1" customWidth="1"/>
    <col min="26" max="16384" width="8.88671875" style="3"/>
  </cols>
  <sheetData>
    <row r="1" spans="2:25" s="25" customFormat="1" ht="22.8" x14ac:dyDescent="0.4">
      <c r="B1" s="26" t="s">
        <v>0</v>
      </c>
      <c r="C1" s="92"/>
      <c r="D1" s="92"/>
      <c r="G1" s="92"/>
      <c r="H1" s="38"/>
      <c r="I1" s="38"/>
      <c r="J1" s="38"/>
      <c r="K1" s="38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2:25" s="4" customFormat="1" ht="16.95" customHeight="1" thickBot="1" x14ac:dyDescent="0.3">
      <c r="B2" s="59" t="s">
        <v>728</v>
      </c>
      <c r="C2" s="93" t="s">
        <v>841</v>
      </c>
      <c r="D2" s="132"/>
      <c r="G2" s="132"/>
      <c r="H2" s="39"/>
      <c r="I2" s="39" t="s">
        <v>99</v>
      </c>
      <c r="J2" s="39"/>
      <c r="K2" s="39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</row>
    <row r="3" spans="2:25" s="24" customFormat="1" ht="15" hidden="1" thickBot="1" x14ac:dyDescent="0.35">
      <c r="B3" s="24" t="s">
        <v>1</v>
      </c>
      <c r="C3" s="94"/>
      <c r="D3" s="94"/>
      <c r="G3" s="94"/>
      <c r="H3" s="40"/>
      <c r="I3" s="40"/>
      <c r="J3" s="40"/>
      <c r="K3" s="40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</row>
    <row r="4" spans="2:25" s="124" customFormat="1" ht="21" customHeight="1" thickBot="1" x14ac:dyDescent="0.25">
      <c r="B4" s="195" t="s">
        <v>2</v>
      </c>
      <c r="C4" s="197" t="s">
        <v>3</v>
      </c>
      <c r="D4" s="167"/>
      <c r="E4" s="125"/>
      <c r="F4" s="199" t="s">
        <v>4</v>
      </c>
      <c r="G4" s="197" t="s">
        <v>583</v>
      </c>
      <c r="H4" s="201" t="s">
        <v>608</v>
      </c>
      <c r="I4" s="202"/>
      <c r="J4" s="203"/>
      <c r="K4" s="204" t="s">
        <v>727</v>
      </c>
      <c r="L4" s="205"/>
      <c r="M4" s="206"/>
      <c r="N4" s="133" t="s">
        <v>726</v>
      </c>
      <c r="O4" s="134"/>
      <c r="P4" s="194" t="s">
        <v>7</v>
      </c>
      <c r="Q4" s="194"/>
      <c r="R4" s="194" t="s">
        <v>8</v>
      </c>
      <c r="S4" s="194"/>
      <c r="T4" s="194" t="s">
        <v>100</v>
      </c>
      <c r="U4" s="194"/>
      <c r="V4" s="133" t="s">
        <v>770</v>
      </c>
      <c r="W4" s="126"/>
      <c r="X4" s="127" t="s">
        <v>824</v>
      </c>
      <c r="Y4" s="124" t="s">
        <v>825</v>
      </c>
    </row>
    <row r="5" spans="2:25" s="124" customFormat="1" ht="12.6" thickBot="1" x14ac:dyDescent="0.25">
      <c r="B5" s="196"/>
      <c r="C5" s="198"/>
      <c r="D5" s="168" t="s">
        <v>554</v>
      </c>
      <c r="E5" s="128" t="s">
        <v>556</v>
      </c>
      <c r="F5" s="200"/>
      <c r="G5" s="198"/>
      <c r="H5" s="129" t="s">
        <v>598</v>
      </c>
      <c r="I5" s="130" t="s">
        <v>600</v>
      </c>
      <c r="J5" s="131" t="s">
        <v>599</v>
      </c>
      <c r="K5" s="129" t="s">
        <v>598</v>
      </c>
      <c r="L5" s="135" t="s">
        <v>600</v>
      </c>
      <c r="M5" s="136" t="s">
        <v>599</v>
      </c>
      <c r="N5" s="137" t="s">
        <v>725</v>
      </c>
      <c r="O5" s="138" t="s">
        <v>6</v>
      </c>
      <c r="P5" s="139" t="s">
        <v>5</v>
      </c>
      <c r="Q5" s="138" t="s">
        <v>6</v>
      </c>
      <c r="R5" s="138" t="s">
        <v>5</v>
      </c>
      <c r="S5" s="138" t="s">
        <v>6</v>
      </c>
      <c r="T5" s="138" t="s">
        <v>5</v>
      </c>
      <c r="U5" s="138" t="s">
        <v>6</v>
      </c>
      <c r="V5" s="137" t="s">
        <v>725</v>
      </c>
      <c r="W5" s="60" t="s">
        <v>6</v>
      </c>
      <c r="X5" s="124" t="s">
        <v>820</v>
      </c>
    </row>
    <row r="6" spans="2:25" s="12" customFormat="1" ht="15.6" hidden="1" x14ac:dyDescent="0.3">
      <c r="B6" s="22" t="s">
        <v>9</v>
      </c>
      <c r="C6" s="95"/>
      <c r="D6" s="95"/>
      <c r="E6" s="23"/>
      <c r="F6" s="23"/>
      <c r="G6" s="95"/>
      <c r="H6" s="41"/>
      <c r="I6" s="41"/>
      <c r="J6" s="41"/>
      <c r="K6" s="41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23"/>
    </row>
    <row r="7" spans="2:25" s="34" customFormat="1" ht="17.399999999999999" hidden="1" outlineLevel="1" x14ac:dyDescent="0.25">
      <c r="B7" s="29">
        <v>1</v>
      </c>
      <c r="C7" s="96" t="s">
        <v>10</v>
      </c>
      <c r="D7" s="96"/>
      <c r="E7" s="30"/>
      <c r="F7" s="31" t="s">
        <v>552</v>
      </c>
      <c r="G7" s="152" t="s">
        <v>11</v>
      </c>
      <c r="H7" s="42"/>
      <c r="I7" s="43">
        <v>0</v>
      </c>
      <c r="J7" s="44">
        <v>0</v>
      </c>
      <c r="K7" s="44"/>
      <c r="L7" s="140"/>
      <c r="M7" s="140"/>
      <c r="N7" s="140"/>
      <c r="O7" s="141"/>
      <c r="P7" s="141"/>
      <c r="Q7" s="141"/>
      <c r="R7" s="141"/>
      <c r="S7" s="141"/>
      <c r="T7" s="141"/>
      <c r="U7" s="141"/>
      <c r="V7" s="140"/>
      <c r="W7" s="33"/>
    </row>
    <row r="8" spans="2:25" s="34" customFormat="1" ht="17.399999999999999" hidden="1" outlineLevel="1" x14ac:dyDescent="0.25">
      <c r="B8" s="29">
        <v>2</v>
      </c>
      <c r="C8" s="96" t="s">
        <v>12</v>
      </c>
      <c r="D8" s="96" t="s">
        <v>555</v>
      </c>
      <c r="E8" s="30" t="s">
        <v>557</v>
      </c>
      <c r="F8" s="31" t="s">
        <v>553</v>
      </c>
      <c r="G8" s="152" t="s">
        <v>13</v>
      </c>
      <c r="H8" s="42"/>
      <c r="I8" s="43">
        <v>0</v>
      </c>
      <c r="J8" s="44">
        <v>0</v>
      </c>
      <c r="K8" s="44"/>
      <c r="L8" s="140"/>
      <c r="M8" s="140"/>
      <c r="N8" s="140"/>
      <c r="O8" s="141"/>
      <c r="P8" s="141"/>
      <c r="Q8" s="141"/>
      <c r="R8" s="141"/>
      <c r="S8" s="141"/>
      <c r="T8" s="141"/>
      <c r="U8" s="141"/>
      <c r="V8" s="140"/>
      <c r="W8" s="33"/>
    </row>
    <row r="9" spans="2:25" s="34" customFormat="1" hidden="1" outlineLevel="1" x14ac:dyDescent="0.25">
      <c r="B9" s="29">
        <v>3</v>
      </c>
      <c r="C9" s="96" t="s">
        <v>14</v>
      </c>
      <c r="D9" s="96" t="s">
        <v>558</v>
      </c>
      <c r="E9" s="30" t="s">
        <v>559</v>
      </c>
      <c r="F9" s="31" t="s">
        <v>15</v>
      </c>
      <c r="G9" s="152" t="s">
        <v>43</v>
      </c>
      <c r="H9" s="42"/>
      <c r="I9" s="43">
        <v>0</v>
      </c>
      <c r="J9" s="44">
        <v>0</v>
      </c>
      <c r="K9" s="44"/>
      <c r="L9" s="140"/>
      <c r="M9" s="140"/>
      <c r="N9" s="140"/>
      <c r="O9" s="141"/>
      <c r="P9" s="141"/>
      <c r="Q9" s="141"/>
      <c r="R9" s="141"/>
      <c r="S9" s="141"/>
      <c r="T9" s="141"/>
      <c r="U9" s="141"/>
      <c r="V9" s="140"/>
      <c r="W9" s="33"/>
    </row>
    <row r="10" spans="2:25" s="34" customFormat="1" ht="16.2" hidden="1" outlineLevel="1" x14ac:dyDescent="0.25">
      <c r="B10" s="29">
        <v>4</v>
      </c>
      <c r="C10" s="96" t="s">
        <v>16</v>
      </c>
      <c r="D10" s="96" t="s">
        <v>560</v>
      </c>
      <c r="E10" s="30" t="s">
        <v>561</v>
      </c>
      <c r="F10" s="31" t="s">
        <v>562</v>
      </c>
      <c r="G10" s="152" t="s">
        <v>17</v>
      </c>
      <c r="H10" s="42"/>
      <c r="I10" s="43">
        <v>0</v>
      </c>
      <c r="J10" s="44">
        <v>0</v>
      </c>
      <c r="K10" s="44"/>
      <c r="L10" s="140"/>
      <c r="M10" s="140"/>
      <c r="N10" s="140"/>
      <c r="O10" s="141"/>
      <c r="P10" s="141"/>
      <c r="Q10" s="141"/>
      <c r="R10" s="141"/>
      <c r="S10" s="141"/>
      <c r="T10" s="141"/>
      <c r="U10" s="141"/>
      <c r="V10" s="140"/>
      <c r="W10" s="33"/>
    </row>
    <row r="11" spans="2:25" s="34" customFormat="1" ht="16.2" hidden="1" outlineLevel="1" x14ac:dyDescent="0.25">
      <c r="B11" s="29">
        <v>5</v>
      </c>
      <c r="C11" s="96" t="s">
        <v>18</v>
      </c>
      <c r="D11" s="96" t="s">
        <v>564</v>
      </c>
      <c r="E11" s="30" t="s">
        <v>563</v>
      </c>
      <c r="F11" s="31" t="s">
        <v>571</v>
      </c>
      <c r="G11" s="152" t="s">
        <v>19</v>
      </c>
      <c r="H11" s="42"/>
      <c r="I11" s="43">
        <v>0</v>
      </c>
      <c r="J11" s="44">
        <v>0</v>
      </c>
      <c r="K11" s="44"/>
      <c r="L11" s="140"/>
      <c r="M11" s="140"/>
      <c r="N11" s="140"/>
      <c r="O11" s="141"/>
      <c r="P11" s="141"/>
      <c r="Q11" s="141"/>
      <c r="R11" s="141"/>
      <c r="S11" s="141"/>
      <c r="T11" s="141"/>
      <c r="U11" s="141"/>
      <c r="V11" s="140"/>
      <c r="W11" s="33"/>
    </row>
    <row r="12" spans="2:25" s="34" customFormat="1" ht="16.2" hidden="1" outlineLevel="1" x14ac:dyDescent="0.25">
      <c r="B12" s="29">
        <v>6</v>
      </c>
      <c r="C12" s="96" t="s">
        <v>20</v>
      </c>
      <c r="D12" s="96" t="s">
        <v>565</v>
      </c>
      <c r="E12" s="30" t="s">
        <v>568</v>
      </c>
      <c r="F12" s="31" t="s">
        <v>572</v>
      </c>
      <c r="G12" s="152" t="s">
        <v>21</v>
      </c>
      <c r="H12" s="42"/>
      <c r="I12" s="43">
        <v>0</v>
      </c>
      <c r="J12" s="44">
        <v>0</v>
      </c>
      <c r="K12" s="44"/>
      <c r="L12" s="140"/>
      <c r="M12" s="140"/>
      <c r="N12" s="140"/>
      <c r="O12" s="141"/>
      <c r="P12" s="141"/>
      <c r="Q12" s="141"/>
      <c r="R12" s="141"/>
      <c r="S12" s="141"/>
      <c r="T12" s="141"/>
      <c r="U12" s="141"/>
      <c r="V12" s="140"/>
      <c r="W12" s="33"/>
    </row>
    <row r="13" spans="2:25" s="34" customFormat="1" ht="16.2" hidden="1" outlineLevel="1" x14ac:dyDescent="0.25">
      <c r="B13" s="29">
        <v>7</v>
      </c>
      <c r="C13" s="96" t="s">
        <v>22</v>
      </c>
      <c r="D13" s="96" t="s">
        <v>566</v>
      </c>
      <c r="E13" s="30" t="s">
        <v>569</v>
      </c>
      <c r="F13" s="31" t="s">
        <v>573</v>
      </c>
      <c r="G13" s="152" t="s">
        <v>23</v>
      </c>
      <c r="H13" s="42"/>
      <c r="I13" s="43">
        <v>0</v>
      </c>
      <c r="J13" s="44">
        <v>0</v>
      </c>
      <c r="K13" s="44"/>
      <c r="L13" s="140"/>
      <c r="M13" s="140"/>
      <c r="N13" s="140"/>
      <c r="O13" s="141"/>
      <c r="P13" s="141"/>
      <c r="Q13" s="141"/>
      <c r="R13" s="141"/>
      <c r="S13" s="141"/>
      <c r="T13" s="141"/>
      <c r="U13" s="141"/>
      <c r="V13" s="140"/>
      <c r="W13" s="33"/>
    </row>
    <row r="14" spans="2:25" s="34" customFormat="1" ht="16.95" hidden="1" customHeight="1" outlineLevel="1" x14ac:dyDescent="0.25">
      <c r="B14" s="29">
        <v>8</v>
      </c>
      <c r="C14" s="96" t="s">
        <v>24</v>
      </c>
      <c r="D14" s="96" t="s">
        <v>567</v>
      </c>
      <c r="E14" s="30" t="s">
        <v>570</v>
      </c>
      <c r="F14" s="31" t="s">
        <v>574</v>
      </c>
      <c r="G14" s="152" t="s">
        <v>25</v>
      </c>
      <c r="H14" s="42"/>
      <c r="I14" s="43">
        <v>0</v>
      </c>
      <c r="J14" s="44">
        <v>0</v>
      </c>
      <c r="K14" s="44"/>
      <c r="L14" s="140"/>
      <c r="M14" s="140"/>
      <c r="N14" s="140"/>
      <c r="O14" s="141"/>
      <c r="P14" s="141"/>
      <c r="Q14" s="141"/>
      <c r="R14" s="141"/>
      <c r="S14" s="141"/>
      <c r="T14" s="141"/>
      <c r="U14" s="141"/>
      <c r="V14" s="140"/>
      <c r="W14" s="33"/>
    </row>
    <row r="15" spans="2:25" s="12" customFormat="1" ht="15.6" hidden="1" collapsed="1" x14ac:dyDescent="0.25">
      <c r="B15" s="20" t="s">
        <v>26</v>
      </c>
      <c r="C15" s="97"/>
      <c r="D15" s="97"/>
      <c r="E15" s="20"/>
      <c r="F15" s="28"/>
      <c r="G15" s="142"/>
      <c r="H15" s="45"/>
      <c r="I15" s="45"/>
      <c r="J15" s="45"/>
      <c r="K15" s="45"/>
      <c r="L15" s="142"/>
      <c r="M15" s="142"/>
      <c r="N15" s="142"/>
      <c r="O15" s="97"/>
      <c r="P15" s="97"/>
      <c r="Q15" s="97"/>
      <c r="R15" s="97"/>
      <c r="S15" s="97"/>
      <c r="T15" s="97"/>
      <c r="U15" s="97"/>
      <c r="V15" s="142"/>
      <c r="W15" s="20"/>
    </row>
    <row r="16" spans="2:25" s="12" customFormat="1" hidden="1" outlineLevel="1" x14ac:dyDescent="0.25">
      <c r="B16" s="16">
        <v>1</v>
      </c>
      <c r="C16" s="98" t="s">
        <v>27</v>
      </c>
      <c r="D16" s="98"/>
      <c r="E16" s="13"/>
      <c r="F16" s="27" t="s">
        <v>28</v>
      </c>
      <c r="G16" s="207" t="s">
        <v>44</v>
      </c>
      <c r="H16" s="46"/>
      <c r="I16" s="47">
        <v>218</v>
      </c>
      <c r="J16" s="48">
        <v>0</v>
      </c>
      <c r="K16" s="48"/>
      <c r="L16" s="143"/>
      <c r="M16" s="143"/>
      <c r="N16" s="143"/>
      <c r="O16" s="144"/>
      <c r="P16" s="144"/>
      <c r="Q16" s="144"/>
      <c r="R16" s="144"/>
      <c r="S16" s="144"/>
      <c r="T16" s="144"/>
      <c r="U16" s="144"/>
      <c r="V16" s="143"/>
      <c r="W16" s="15"/>
    </row>
    <row r="17" spans="1:25" s="12" customFormat="1" hidden="1" outlineLevel="1" x14ac:dyDescent="0.25">
      <c r="B17" s="16">
        <v>2</v>
      </c>
      <c r="C17" s="98" t="s">
        <v>29</v>
      </c>
      <c r="D17" s="98"/>
      <c r="E17" s="13"/>
      <c r="F17" s="27" t="s">
        <v>30</v>
      </c>
      <c r="G17" s="207" t="s">
        <v>43</v>
      </c>
      <c r="H17" s="46"/>
      <c r="I17" s="47">
        <v>716.88</v>
      </c>
      <c r="J17" s="48">
        <v>5.5E-2</v>
      </c>
      <c r="K17" s="48"/>
      <c r="L17" s="143"/>
      <c r="M17" s="143"/>
      <c r="N17" s="143"/>
      <c r="O17" s="144"/>
      <c r="P17" s="144"/>
      <c r="Q17" s="144"/>
      <c r="R17" s="144"/>
      <c r="S17" s="144"/>
      <c r="T17" s="144"/>
      <c r="U17" s="144"/>
      <c r="V17" s="143"/>
      <c r="W17" s="15"/>
    </row>
    <row r="18" spans="1:25" s="12" customFormat="1" hidden="1" outlineLevel="1" x14ac:dyDescent="0.25">
      <c r="B18" s="16">
        <v>3</v>
      </c>
      <c r="C18" s="98" t="s">
        <v>31</v>
      </c>
      <c r="D18" s="98"/>
      <c r="E18" s="13"/>
      <c r="F18" s="27" t="s">
        <v>32</v>
      </c>
      <c r="G18" s="207" t="s">
        <v>45</v>
      </c>
      <c r="H18" s="46"/>
      <c r="I18" s="47">
        <v>249.22900000000001</v>
      </c>
      <c r="J18" s="48">
        <v>2.0999999999999999E-3</v>
      </c>
      <c r="K18" s="48"/>
      <c r="L18" s="143"/>
      <c r="M18" s="143"/>
      <c r="N18" s="143"/>
      <c r="O18" s="144"/>
      <c r="P18" s="144"/>
      <c r="Q18" s="144"/>
      <c r="R18" s="144"/>
      <c r="S18" s="144"/>
      <c r="T18" s="144"/>
      <c r="U18" s="144"/>
      <c r="V18" s="143"/>
      <c r="W18" s="15"/>
    </row>
    <row r="19" spans="1:25" s="12" customFormat="1" hidden="1" outlineLevel="1" x14ac:dyDescent="0.25">
      <c r="B19" s="16">
        <v>4</v>
      </c>
      <c r="C19" s="98" t="s">
        <v>33</v>
      </c>
      <c r="D19" s="98"/>
      <c r="E19" s="13"/>
      <c r="F19" s="27" t="s">
        <v>34</v>
      </c>
      <c r="G19" s="207" t="s">
        <v>46</v>
      </c>
      <c r="H19" s="46"/>
      <c r="I19" s="47">
        <v>472.435</v>
      </c>
      <c r="J19" s="48">
        <v>2.4E-2</v>
      </c>
      <c r="K19" s="48"/>
      <c r="L19" s="143"/>
      <c r="M19" s="143"/>
      <c r="N19" s="143"/>
      <c r="O19" s="144"/>
      <c r="P19" s="144"/>
      <c r="Q19" s="144"/>
      <c r="R19" s="144"/>
      <c r="S19" s="144"/>
      <c r="T19" s="144"/>
      <c r="U19" s="144"/>
      <c r="V19" s="143"/>
      <c r="W19" s="15"/>
    </row>
    <row r="20" spans="1:25" s="12" customFormat="1" hidden="1" outlineLevel="1" x14ac:dyDescent="0.25">
      <c r="B20" s="16">
        <v>5</v>
      </c>
      <c r="C20" s="98" t="s">
        <v>35</v>
      </c>
      <c r="D20" s="98"/>
      <c r="E20" s="13"/>
      <c r="F20" s="27" t="s">
        <v>36</v>
      </c>
      <c r="G20" s="207" t="s">
        <v>47</v>
      </c>
      <c r="H20" s="46"/>
      <c r="I20" s="47">
        <v>79.393000000000001</v>
      </c>
      <c r="J20" s="48">
        <v>5.5E-2</v>
      </c>
      <c r="K20" s="48"/>
      <c r="L20" s="143"/>
      <c r="M20" s="143"/>
      <c r="N20" s="143"/>
      <c r="O20" s="144"/>
      <c r="P20" s="144"/>
      <c r="Q20" s="144"/>
      <c r="R20" s="144"/>
      <c r="S20" s="144"/>
      <c r="T20" s="144"/>
      <c r="U20" s="144"/>
      <c r="V20" s="143"/>
      <c r="W20" s="15"/>
    </row>
    <row r="21" spans="1:25" s="12" customFormat="1" hidden="1" outlineLevel="1" x14ac:dyDescent="0.25">
      <c r="B21" s="16">
        <v>6</v>
      </c>
      <c r="C21" s="98" t="s">
        <v>37</v>
      </c>
      <c r="D21" s="98"/>
      <c r="E21" s="13"/>
      <c r="F21" s="27" t="s">
        <v>38</v>
      </c>
      <c r="G21" s="207" t="s">
        <v>43</v>
      </c>
      <c r="H21" s="46"/>
      <c r="I21" s="47">
        <v>121.30200000000001</v>
      </c>
      <c r="J21" s="48">
        <v>2.0999999999999999E-3</v>
      </c>
      <c r="K21" s="48"/>
      <c r="L21" s="143"/>
      <c r="M21" s="143"/>
      <c r="N21" s="143"/>
      <c r="O21" s="144"/>
      <c r="P21" s="144"/>
      <c r="Q21" s="144"/>
      <c r="R21" s="144"/>
      <c r="S21" s="144"/>
      <c r="T21" s="144"/>
      <c r="U21" s="144"/>
      <c r="V21" s="143"/>
      <c r="W21" s="15"/>
    </row>
    <row r="22" spans="1:25" s="12" customFormat="1" hidden="1" outlineLevel="1" x14ac:dyDescent="0.25">
      <c r="B22" s="16">
        <v>7</v>
      </c>
      <c r="C22" s="98" t="s">
        <v>39</v>
      </c>
      <c r="D22" s="98"/>
      <c r="E22" s="13"/>
      <c r="F22" s="27" t="s">
        <v>40</v>
      </c>
      <c r="G22" s="207" t="s">
        <v>48</v>
      </c>
      <c r="H22" s="46"/>
      <c r="I22" s="47">
        <v>111.852</v>
      </c>
      <c r="J22" s="48">
        <v>5.6000000000000001E-2</v>
      </c>
      <c r="K22" s="48"/>
      <c r="L22" s="143"/>
      <c r="M22" s="143"/>
      <c r="N22" s="143"/>
      <c r="O22" s="144"/>
      <c r="P22" s="144"/>
      <c r="Q22" s="144"/>
      <c r="R22" s="144"/>
      <c r="S22" s="144"/>
      <c r="T22" s="144"/>
      <c r="U22" s="144"/>
      <c r="V22" s="143"/>
      <c r="W22" s="15"/>
    </row>
    <row r="23" spans="1:25" s="12" customFormat="1" hidden="1" outlineLevel="1" x14ac:dyDescent="0.25">
      <c r="B23" s="16">
        <v>8</v>
      </c>
      <c r="C23" s="98" t="s">
        <v>41</v>
      </c>
      <c r="D23" s="98"/>
      <c r="E23" s="13"/>
      <c r="F23" s="27" t="s">
        <v>42</v>
      </c>
      <c r="G23" s="207" t="s">
        <v>49</v>
      </c>
      <c r="H23" s="46"/>
      <c r="I23" s="47">
        <v>106.75700000000001</v>
      </c>
      <c r="J23" s="48">
        <v>2.0999999999999999E-3</v>
      </c>
      <c r="K23" s="48"/>
      <c r="L23" s="143"/>
      <c r="M23" s="143"/>
      <c r="N23" s="143"/>
      <c r="O23" s="144"/>
      <c r="P23" s="144"/>
      <c r="Q23" s="144"/>
      <c r="R23" s="144"/>
      <c r="S23" s="144"/>
      <c r="T23" s="144"/>
      <c r="U23" s="144"/>
      <c r="V23" s="143"/>
      <c r="W23" s="15"/>
    </row>
    <row r="24" spans="1:25" s="12" customFormat="1" ht="15.6" collapsed="1" x14ac:dyDescent="0.3">
      <c r="A24" s="12" t="s">
        <v>869</v>
      </c>
      <c r="B24" s="21" t="s">
        <v>77</v>
      </c>
      <c r="C24" s="99"/>
      <c r="D24" s="99"/>
      <c r="E24" s="21"/>
      <c r="F24" s="21"/>
      <c r="G24" s="99"/>
      <c r="H24" s="49"/>
      <c r="I24" s="49"/>
      <c r="J24" s="49"/>
      <c r="K24" s="49"/>
      <c r="L24" s="145"/>
      <c r="M24" s="145"/>
      <c r="N24" s="145"/>
      <c r="O24" s="99"/>
      <c r="P24" s="99"/>
      <c r="Q24" s="99"/>
      <c r="R24" s="99"/>
      <c r="S24" s="99"/>
      <c r="T24" s="99"/>
      <c r="U24" s="99"/>
      <c r="V24" s="145"/>
      <c r="W24" s="21"/>
    </row>
    <row r="25" spans="1:25" s="34" customFormat="1" outlineLevel="1" x14ac:dyDescent="0.25">
      <c r="A25" s="123">
        <v>1</v>
      </c>
      <c r="B25" s="32">
        <v>100</v>
      </c>
      <c r="C25" s="103" t="s">
        <v>10</v>
      </c>
      <c r="D25" s="104"/>
      <c r="F25" s="30" t="s">
        <v>772</v>
      </c>
      <c r="G25" s="152" t="s">
        <v>11</v>
      </c>
      <c r="H25" s="76">
        <v>0</v>
      </c>
      <c r="I25" s="76">
        <v>-5.8000000000000003E-2</v>
      </c>
      <c r="J25" s="76">
        <v>0</v>
      </c>
      <c r="K25" s="70">
        <f t="shared" ref="K25:M29" si="0">H25/4.184</f>
        <v>0</v>
      </c>
      <c r="L25" s="146">
        <f t="shared" si="0"/>
        <v>-1.3862332695984704E-2</v>
      </c>
      <c r="M25" s="146">
        <f t="shared" si="0"/>
        <v>0</v>
      </c>
      <c r="N25" s="147">
        <v>-1.0948</v>
      </c>
      <c r="O25" s="147"/>
      <c r="P25" s="147"/>
      <c r="Q25" s="147"/>
      <c r="R25" s="147"/>
      <c r="S25" s="147"/>
      <c r="T25" s="147"/>
      <c r="U25" s="147"/>
      <c r="V25" s="147">
        <v>-0.1222</v>
      </c>
      <c r="X25" s="12"/>
      <c r="Y25" s="34" t="s">
        <v>826</v>
      </c>
    </row>
    <row r="26" spans="1:25" s="34" customFormat="1" outlineLevel="1" x14ac:dyDescent="0.25">
      <c r="A26" s="123">
        <v>2</v>
      </c>
      <c r="B26" s="32">
        <v>101</v>
      </c>
      <c r="C26" s="103" t="s">
        <v>27</v>
      </c>
      <c r="D26" s="104"/>
      <c r="F26" s="30" t="s">
        <v>773</v>
      </c>
      <c r="G26" s="104" t="s">
        <v>44</v>
      </c>
      <c r="H26" s="76">
        <v>216.03399999999999</v>
      </c>
      <c r="I26" s="76">
        <v>217.99799999999999</v>
      </c>
      <c r="J26" s="76">
        <v>0</v>
      </c>
      <c r="K26" s="70">
        <f t="shared" si="0"/>
        <v>51.633365200764814</v>
      </c>
      <c r="L26" s="146">
        <f t="shared" si="0"/>
        <v>52.102772466539193</v>
      </c>
      <c r="M26" s="146">
        <f t="shared" si="0"/>
        <v>0</v>
      </c>
      <c r="N26" s="147">
        <v>52.100200000000001</v>
      </c>
      <c r="O26" s="147"/>
      <c r="P26" s="147"/>
      <c r="Q26" s="147"/>
      <c r="R26" s="147"/>
      <c r="S26" s="147"/>
      <c r="T26" s="147"/>
      <c r="U26" s="147"/>
      <c r="V26" s="147">
        <v>52.1</v>
      </c>
      <c r="X26" s="12" t="s">
        <v>823</v>
      </c>
      <c r="Y26" s="34" t="s">
        <v>840</v>
      </c>
    </row>
    <row r="27" spans="1:25" s="34" customFormat="1" outlineLevel="1" x14ac:dyDescent="0.25">
      <c r="A27" s="123">
        <v>3</v>
      </c>
      <c r="B27" s="32">
        <v>102</v>
      </c>
      <c r="C27" s="103" t="s">
        <v>29</v>
      </c>
      <c r="D27" s="104"/>
      <c r="F27" s="30" t="s">
        <v>52</v>
      </c>
      <c r="G27" s="152" t="s">
        <v>43</v>
      </c>
      <c r="H27" s="76">
        <v>711.40099999999995</v>
      </c>
      <c r="I27" s="76">
        <v>716.88599999999997</v>
      </c>
      <c r="J27" s="76">
        <v>0.05</v>
      </c>
      <c r="K27" s="70">
        <f t="shared" si="0"/>
        <v>170.02891969407264</v>
      </c>
      <c r="L27" s="146">
        <f t="shared" si="0"/>
        <v>171.33986615678774</v>
      </c>
      <c r="M27" s="146">
        <f t="shared" si="0"/>
        <v>1.1950286806883365E-2</v>
      </c>
      <c r="N27" s="147">
        <v>171.2159</v>
      </c>
      <c r="O27" s="147"/>
      <c r="P27" s="147"/>
      <c r="Q27" s="147"/>
      <c r="R27" s="147"/>
      <c r="S27" s="147"/>
      <c r="T27" s="147"/>
      <c r="U27" s="147"/>
      <c r="V27" s="147">
        <v>171.21019999999999</v>
      </c>
    </row>
    <row r="28" spans="1:25" s="34" customFormat="1" outlineLevel="1" x14ac:dyDescent="0.25">
      <c r="A28" s="123">
        <v>4</v>
      </c>
      <c r="B28" s="32">
        <v>103</v>
      </c>
      <c r="C28" s="103" t="s">
        <v>206</v>
      </c>
      <c r="D28" s="104"/>
      <c r="F28" s="30" t="s">
        <v>774</v>
      </c>
      <c r="G28" s="152" t="s">
        <v>849</v>
      </c>
      <c r="H28" s="76">
        <v>592.78</v>
      </c>
      <c r="I28" s="76">
        <v>596.12</v>
      </c>
      <c r="J28" s="76">
        <v>0.11</v>
      </c>
      <c r="K28" s="70">
        <f t="shared" si="0"/>
        <v>141.6778202676864</v>
      </c>
      <c r="L28" s="146">
        <f t="shared" si="0"/>
        <v>142.47609942638624</v>
      </c>
      <c r="M28" s="146">
        <f t="shared" si="0"/>
        <v>2.6290630975143402E-2</v>
      </c>
      <c r="N28" s="147">
        <v>142.48140000000001</v>
      </c>
      <c r="O28" s="147"/>
      <c r="P28" s="147"/>
      <c r="Q28" s="147"/>
      <c r="R28" s="147"/>
      <c r="S28" s="147"/>
      <c r="T28" s="147"/>
      <c r="U28" s="147"/>
      <c r="V28" s="147">
        <v>148.32089999999999</v>
      </c>
    </row>
    <row r="29" spans="1:25" s="34" customFormat="1" outlineLevel="1" x14ac:dyDescent="0.25">
      <c r="A29" s="123">
        <v>5</v>
      </c>
      <c r="B29" s="32">
        <v>104</v>
      </c>
      <c r="C29" s="103" t="s">
        <v>220</v>
      </c>
      <c r="D29" s="104"/>
      <c r="F29" s="30" t="s">
        <v>775</v>
      </c>
      <c r="G29" s="152" t="s">
        <v>850</v>
      </c>
      <c r="H29" s="76">
        <v>390.96</v>
      </c>
      <c r="I29" s="76">
        <v>391.52</v>
      </c>
      <c r="J29" s="76">
        <v>0.12</v>
      </c>
      <c r="K29" s="70">
        <f t="shared" si="0"/>
        <v>93.441682600382407</v>
      </c>
      <c r="L29" s="146">
        <f t="shared" si="0"/>
        <v>93.575525812619489</v>
      </c>
      <c r="M29" s="146">
        <f t="shared" si="0"/>
        <v>2.8680688336520075E-2</v>
      </c>
      <c r="N29" s="147">
        <v>94.752399999999994</v>
      </c>
      <c r="O29" s="147"/>
      <c r="P29" s="147"/>
      <c r="Q29" s="147"/>
      <c r="R29" s="147"/>
      <c r="S29" s="147"/>
      <c r="T29" s="147"/>
      <c r="U29" s="147"/>
      <c r="V29" s="147">
        <v>85.807900000000004</v>
      </c>
    </row>
    <row r="30" spans="1:25" s="34" customFormat="1" ht="18" customHeight="1" outlineLevel="1" x14ac:dyDescent="0.25">
      <c r="A30" s="123">
        <v>6</v>
      </c>
      <c r="B30" s="32">
        <v>1</v>
      </c>
      <c r="C30" s="101" t="s">
        <v>205</v>
      </c>
      <c r="D30" s="104" t="s">
        <v>870</v>
      </c>
      <c r="E30" s="34" t="s">
        <v>575</v>
      </c>
      <c r="F30" s="30" t="s">
        <v>597</v>
      </c>
      <c r="G30" s="152" t="s">
        <v>50</v>
      </c>
      <c r="H30" s="70">
        <v>149.78800000000001</v>
      </c>
      <c r="I30" s="70">
        <v>146.374</v>
      </c>
      <c r="J30" s="70">
        <v>0.08</v>
      </c>
      <c r="K30" s="70">
        <f>H30/4.184</f>
        <v>35.800191204588913</v>
      </c>
      <c r="L30" s="146">
        <f t="shared" ref="L30:M30" si="1">I30/4.184</f>
        <v>34.984225621414915</v>
      </c>
      <c r="M30" s="146">
        <f t="shared" si="1"/>
        <v>1.9120458891013385E-2</v>
      </c>
      <c r="N30" s="148">
        <v>35.671599999999998</v>
      </c>
      <c r="O30" s="147"/>
      <c r="P30" s="147"/>
      <c r="Q30" s="147"/>
      <c r="R30" s="147"/>
      <c r="S30" s="147"/>
      <c r="T30" s="147"/>
      <c r="U30" s="147"/>
      <c r="V30" s="147">
        <v>44.990900000000003</v>
      </c>
    </row>
    <row r="31" spans="1:25" s="34" customFormat="1" ht="18" customHeight="1" outlineLevel="1" x14ac:dyDescent="0.25">
      <c r="A31" s="123">
        <v>7</v>
      </c>
      <c r="B31" s="32">
        <v>2</v>
      </c>
      <c r="C31" s="102" t="s">
        <v>51</v>
      </c>
      <c r="D31" s="104" t="s">
        <v>579</v>
      </c>
      <c r="E31" s="30" t="s">
        <v>578</v>
      </c>
      <c r="F31" s="30" t="s">
        <v>596</v>
      </c>
      <c r="G31" s="152" t="s">
        <v>52</v>
      </c>
      <c r="H31" s="70">
        <v>-66.55</v>
      </c>
      <c r="I31" s="70">
        <v>-74.52</v>
      </c>
      <c r="J31" s="70">
        <v>5.7000000000000002E-2</v>
      </c>
      <c r="K31" s="70">
        <f t="shared" ref="K31:K93" si="2">H31/4.184</f>
        <v>-15.905831739961759</v>
      </c>
      <c r="L31" s="146">
        <f t="shared" ref="L31:L93" si="3">I31/4.184</f>
        <v>-17.810707456978967</v>
      </c>
      <c r="M31" s="146">
        <f t="shared" ref="M31:M93" si="4">J31/4.184</f>
        <v>1.3623326959847037E-2</v>
      </c>
      <c r="N31" s="146">
        <v>-17.5457</v>
      </c>
      <c r="O31" s="147"/>
      <c r="P31" s="147"/>
      <c r="Q31" s="147"/>
      <c r="R31" s="147"/>
      <c r="S31" s="147"/>
      <c r="T31" s="147"/>
      <c r="U31" s="147"/>
      <c r="V31" s="147">
        <v>13.326700000000001</v>
      </c>
    </row>
    <row r="32" spans="1:25" s="30" customFormat="1" ht="18" customHeight="1" outlineLevel="1" x14ac:dyDescent="0.25">
      <c r="A32" s="123">
        <v>8</v>
      </c>
      <c r="B32" s="30">
        <v>105</v>
      </c>
      <c r="C32" s="96" t="s">
        <v>867</v>
      </c>
      <c r="D32" s="96"/>
      <c r="F32" s="30" t="s">
        <v>781</v>
      </c>
      <c r="G32" s="96" t="s">
        <v>827</v>
      </c>
      <c r="H32" s="30">
        <v>820.21</v>
      </c>
      <c r="I32" s="30">
        <v>828.68</v>
      </c>
      <c r="J32" s="30">
        <v>0.27</v>
      </c>
      <c r="K32" s="30">
        <f t="shared" si="2"/>
        <v>196.03489483747609</v>
      </c>
      <c r="L32" s="146">
        <f t="shared" si="3"/>
        <v>198.05927342256211</v>
      </c>
      <c r="M32" s="146">
        <f t="shared" si="4"/>
        <v>6.4531548757170168E-2</v>
      </c>
      <c r="N32" s="146">
        <v>197.3527</v>
      </c>
      <c r="O32" s="146"/>
      <c r="P32" s="146"/>
      <c r="Q32" s="146"/>
      <c r="R32" s="146"/>
      <c r="S32" s="146"/>
      <c r="T32" s="146"/>
      <c r="U32" s="146"/>
      <c r="V32" s="146">
        <v>218.99350000000001</v>
      </c>
    </row>
    <row r="33" spans="1:25" s="34" customFormat="1" ht="18" customHeight="1" outlineLevel="1" x14ac:dyDescent="0.25">
      <c r="A33" s="123">
        <v>9</v>
      </c>
      <c r="B33" s="32">
        <v>3</v>
      </c>
      <c r="C33" s="96" t="s">
        <v>666</v>
      </c>
      <c r="D33" s="104"/>
      <c r="E33" s="30" t="s">
        <v>668</v>
      </c>
      <c r="F33" s="30" t="s">
        <v>665</v>
      </c>
      <c r="G33" s="152" t="s">
        <v>667</v>
      </c>
      <c r="H33" s="70">
        <v>563.87</v>
      </c>
      <c r="I33" s="70">
        <v>567.99</v>
      </c>
      <c r="J33" s="70">
        <v>0.15</v>
      </c>
      <c r="K33" s="70">
        <f t="shared" si="2"/>
        <v>134.76816443594646</v>
      </c>
      <c r="L33" s="146">
        <f t="shared" si="3"/>
        <v>135.75286806883364</v>
      </c>
      <c r="M33" s="146">
        <f t="shared" si="4"/>
        <v>3.5850860420650089E-2</v>
      </c>
      <c r="N33" s="146">
        <v>137.00960000000001</v>
      </c>
      <c r="O33" s="147"/>
      <c r="P33" s="147"/>
      <c r="Q33" s="147"/>
      <c r="R33" s="147"/>
      <c r="S33" s="147"/>
      <c r="T33" s="147"/>
      <c r="U33" s="147"/>
      <c r="V33" s="147">
        <v>150.2122</v>
      </c>
    </row>
    <row r="34" spans="1:25" s="34" customFormat="1" ht="18" customHeight="1" outlineLevel="1" x14ac:dyDescent="0.25">
      <c r="A34" s="123">
        <v>10</v>
      </c>
      <c r="B34" s="32">
        <v>4</v>
      </c>
      <c r="C34" s="102" t="s">
        <v>53</v>
      </c>
      <c r="D34" s="104" t="s">
        <v>577</v>
      </c>
      <c r="E34" s="34" t="s">
        <v>576</v>
      </c>
      <c r="F34" s="30" t="s">
        <v>595</v>
      </c>
      <c r="G34" s="152" t="s">
        <v>54</v>
      </c>
      <c r="H34" s="70">
        <v>228.84</v>
      </c>
      <c r="I34" s="70">
        <v>228.28</v>
      </c>
      <c r="J34" s="70">
        <v>0.14000000000000001</v>
      </c>
      <c r="K34" s="70">
        <f t="shared" si="2"/>
        <v>54.694072657743781</v>
      </c>
      <c r="L34" s="146">
        <f t="shared" si="3"/>
        <v>54.560229445506693</v>
      </c>
      <c r="M34" s="146">
        <f t="shared" si="4"/>
        <v>3.3460803059273424E-2</v>
      </c>
      <c r="N34" s="146">
        <v>56.131900000000002</v>
      </c>
      <c r="O34" s="147"/>
      <c r="P34" s="147"/>
      <c r="Q34" s="147"/>
      <c r="R34" s="147"/>
      <c r="S34" s="147"/>
      <c r="T34" s="147"/>
      <c r="U34" s="147"/>
      <c r="V34" s="147">
        <v>69.098799999999997</v>
      </c>
    </row>
    <row r="35" spans="1:25" s="34" customFormat="1" ht="18" customHeight="1" outlineLevel="1" x14ac:dyDescent="0.25">
      <c r="A35" s="123">
        <v>11</v>
      </c>
      <c r="B35" s="32">
        <v>106</v>
      </c>
      <c r="C35" s="96" t="s">
        <v>792</v>
      </c>
      <c r="D35" s="104"/>
      <c r="F35" s="30" t="s">
        <v>794</v>
      </c>
      <c r="G35" s="152" t="s">
        <v>851</v>
      </c>
      <c r="H35" s="77">
        <v>411.29</v>
      </c>
      <c r="I35" s="77">
        <v>412.2</v>
      </c>
      <c r="J35" s="77">
        <v>0.33</v>
      </c>
      <c r="K35" s="71">
        <f t="shared" si="2"/>
        <v>98.300669216061181</v>
      </c>
      <c r="L35" s="149">
        <f t="shared" si="3"/>
        <v>98.51816443594646</v>
      </c>
      <c r="M35" s="146">
        <f t="shared" si="4"/>
        <v>7.8871892925430218E-2</v>
      </c>
      <c r="N35" s="146">
        <v>99.950100000000006</v>
      </c>
      <c r="O35" s="147"/>
      <c r="P35" s="147"/>
      <c r="Q35" s="147"/>
      <c r="R35" s="147"/>
      <c r="S35" s="147"/>
      <c r="T35" s="147"/>
      <c r="U35" s="147"/>
      <c r="V35" s="147">
        <v>125.3905</v>
      </c>
    </row>
    <row r="36" spans="1:25" s="34" customFormat="1" ht="18" customHeight="1" outlineLevel="1" x14ac:dyDescent="0.25">
      <c r="A36" s="123">
        <v>12</v>
      </c>
      <c r="B36" s="32">
        <v>107</v>
      </c>
      <c r="C36" s="96" t="s">
        <v>793</v>
      </c>
      <c r="D36" s="104"/>
      <c r="F36" s="30" t="s">
        <v>795</v>
      </c>
      <c r="G36" s="152" t="s">
        <v>852</v>
      </c>
      <c r="H36" s="77">
        <v>508.58</v>
      </c>
      <c r="I36" s="77">
        <v>504.88</v>
      </c>
      <c r="J36" s="77">
        <v>0.87</v>
      </c>
      <c r="K36" s="71">
        <f t="shared" si="2"/>
        <v>121.55353728489483</v>
      </c>
      <c r="L36" s="149">
        <f t="shared" si="3"/>
        <v>120.66921606118547</v>
      </c>
      <c r="M36" s="146">
        <f t="shared" si="4"/>
        <v>0.20793499043977054</v>
      </c>
      <c r="N36" s="146">
        <v>121.6585</v>
      </c>
      <c r="O36" s="147"/>
      <c r="P36" s="147"/>
      <c r="Q36" s="147"/>
      <c r="R36" s="147"/>
      <c r="S36" s="147"/>
      <c r="T36" s="147"/>
      <c r="U36" s="147"/>
      <c r="V36" s="147">
        <v>135.04150000000001</v>
      </c>
    </row>
    <row r="37" spans="1:25" s="34" customFormat="1" ht="18" customHeight="1" outlineLevel="1" x14ac:dyDescent="0.25">
      <c r="A37" s="123">
        <v>13</v>
      </c>
      <c r="B37" s="32">
        <v>5</v>
      </c>
      <c r="C37" s="102" t="s">
        <v>55</v>
      </c>
      <c r="D37" s="104" t="s">
        <v>584</v>
      </c>
      <c r="E37" s="34" t="s">
        <v>582</v>
      </c>
      <c r="F37" s="30" t="s">
        <v>594</v>
      </c>
      <c r="G37" s="152" t="s">
        <v>56</v>
      </c>
      <c r="H37" s="70">
        <v>301.11</v>
      </c>
      <c r="I37" s="70">
        <v>296.91000000000003</v>
      </c>
      <c r="J37" s="70">
        <v>0.33</v>
      </c>
      <c r="K37" s="70">
        <f t="shared" si="2"/>
        <v>71.967017208412997</v>
      </c>
      <c r="L37" s="146">
        <f t="shared" si="3"/>
        <v>70.963193116634798</v>
      </c>
      <c r="M37" s="146">
        <f t="shared" si="4"/>
        <v>7.8871892925430218E-2</v>
      </c>
      <c r="N37" s="146">
        <v>71.977800000000002</v>
      </c>
      <c r="O37" s="147"/>
      <c r="P37" s="147"/>
      <c r="Q37" s="147"/>
      <c r="R37" s="147"/>
      <c r="S37" s="147"/>
      <c r="T37" s="147"/>
      <c r="U37" s="147"/>
      <c r="V37" s="147">
        <v>78.199299999999994</v>
      </c>
    </row>
    <row r="38" spans="1:25" s="34" customFormat="1" ht="18" customHeight="1" outlineLevel="1" x14ac:dyDescent="0.25">
      <c r="A38" s="123">
        <v>14</v>
      </c>
      <c r="B38" s="32">
        <v>6</v>
      </c>
      <c r="C38" s="102" t="s">
        <v>57</v>
      </c>
      <c r="D38" s="104" t="s">
        <v>580</v>
      </c>
      <c r="E38" s="34" t="s">
        <v>581</v>
      </c>
      <c r="F38" s="30" t="s">
        <v>593</v>
      </c>
      <c r="G38" s="152" t="s">
        <v>58</v>
      </c>
      <c r="H38" s="70">
        <v>60.96</v>
      </c>
      <c r="I38" s="70">
        <v>52.45</v>
      </c>
      <c r="J38" s="70">
        <v>0.13</v>
      </c>
      <c r="K38" s="70">
        <f t="shared" si="2"/>
        <v>14.569789674952199</v>
      </c>
      <c r="L38" s="146">
        <f t="shared" si="3"/>
        <v>12.53585086042065</v>
      </c>
      <c r="M38" s="146">
        <f t="shared" si="4"/>
        <v>3.1070745697896748E-2</v>
      </c>
      <c r="N38" s="146">
        <v>13.552</v>
      </c>
      <c r="O38" s="147"/>
      <c r="P38" s="147"/>
      <c r="Q38" s="147"/>
      <c r="R38" s="147"/>
      <c r="S38" s="147"/>
      <c r="T38" s="147"/>
      <c r="U38" s="147"/>
      <c r="V38" s="147">
        <v>41.592199999999998</v>
      </c>
    </row>
    <row r="39" spans="1:25" s="34" customFormat="1" ht="18" customHeight="1" outlineLevel="1" x14ac:dyDescent="0.25">
      <c r="A39" s="123">
        <v>15</v>
      </c>
      <c r="B39" s="32">
        <v>108</v>
      </c>
      <c r="C39" s="102" t="s">
        <v>866</v>
      </c>
      <c r="D39" s="104"/>
      <c r="F39" s="30" t="s">
        <v>789</v>
      </c>
      <c r="G39" s="152" t="s">
        <v>853</v>
      </c>
      <c r="H39" s="77">
        <v>361.45</v>
      </c>
      <c r="I39" s="77">
        <v>354.45</v>
      </c>
      <c r="J39" s="77">
        <v>0.82</v>
      </c>
      <c r="K39" s="71">
        <f t="shared" si="2"/>
        <v>86.388623326959845</v>
      </c>
      <c r="L39" s="149">
        <f t="shared" si="3"/>
        <v>84.715583173996166</v>
      </c>
      <c r="M39" s="146">
        <f t="shared" si="4"/>
        <v>0.19598470363288717</v>
      </c>
      <c r="N39" s="146">
        <v>86.137799999999999</v>
      </c>
      <c r="O39" s="147"/>
      <c r="P39" s="147"/>
      <c r="Q39" s="147"/>
      <c r="R39" s="147"/>
      <c r="S39" s="147"/>
      <c r="T39" s="147"/>
      <c r="U39" s="147"/>
      <c r="V39" s="147">
        <v>81.900999999999996</v>
      </c>
    </row>
    <row r="40" spans="1:25" s="34" customFormat="1" ht="18" customHeight="1" outlineLevel="1" x14ac:dyDescent="0.25">
      <c r="A40" s="123">
        <v>16</v>
      </c>
      <c r="B40" s="32">
        <v>7</v>
      </c>
      <c r="C40" s="96" t="s">
        <v>59</v>
      </c>
      <c r="D40" s="104" t="s">
        <v>588</v>
      </c>
      <c r="E40" s="34" t="s">
        <v>585</v>
      </c>
      <c r="F40" s="30" t="s">
        <v>611</v>
      </c>
      <c r="G40" s="152" t="s">
        <v>60</v>
      </c>
      <c r="H40" s="70">
        <v>130.91999999999999</v>
      </c>
      <c r="I40" s="70">
        <v>119.86</v>
      </c>
      <c r="J40" s="70">
        <v>0.28000000000000003</v>
      </c>
      <c r="K40" s="70">
        <f t="shared" si="2"/>
        <v>31.290630975143401</v>
      </c>
      <c r="L40" s="146">
        <f t="shared" si="3"/>
        <v>28.647227533460804</v>
      </c>
      <c r="M40" s="146">
        <f t="shared" si="4"/>
        <v>6.6921606118546847E-2</v>
      </c>
      <c r="N40" s="146">
        <v>29.938700000000001</v>
      </c>
      <c r="O40" s="147"/>
      <c r="P40" s="147"/>
      <c r="Q40" s="147"/>
      <c r="R40" s="147"/>
      <c r="S40" s="147"/>
      <c r="T40" s="147"/>
      <c r="U40" s="147"/>
      <c r="V40" s="147">
        <v>44.75</v>
      </c>
    </row>
    <row r="41" spans="1:25" s="34" customFormat="1" ht="18" customHeight="1" outlineLevel="1" x14ac:dyDescent="0.25">
      <c r="A41" s="123">
        <v>17</v>
      </c>
      <c r="B41" s="32">
        <v>8</v>
      </c>
      <c r="C41" s="102" t="s">
        <v>61</v>
      </c>
      <c r="D41" s="96" t="s">
        <v>587</v>
      </c>
      <c r="E41" s="30" t="s">
        <v>586</v>
      </c>
      <c r="F41" s="30" t="s">
        <v>592</v>
      </c>
      <c r="G41" s="152" t="s">
        <v>62</v>
      </c>
      <c r="H41" s="70">
        <v>-68.290000000000006</v>
      </c>
      <c r="I41" s="70">
        <v>-83.91</v>
      </c>
      <c r="J41" s="70">
        <v>0.14000000000000001</v>
      </c>
      <c r="K41" s="70">
        <f t="shared" si="2"/>
        <v>-16.3217017208413</v>
      </c>
      <c r="L41" s="146">
        <f t="shared" si="3"/>
        <v>-20.054971319311662</v>
      </c>
      <c r="M41" s="146">
        <f t="shared" si="4"/>
        <v>3.3460803059273424E-2</v>
      </c>
      <c r="N41" s="146">
        <v>-19.2776</v>
      </c>
      <c r="O41" s="147"/>
      <c r="P41" s="147"/>
      <c r="Q41" s="147"/>
      <c r="R41" s="147"/>
      <c r="S41" s="147"/>
      <c r="T41" s="147"/>
      <c r="U41" s="147"/>
      <c r="V41" s="147">
        <v>19.112500000000001</v>
      </c>
      <c r="X41" s="34" t="s">
        <v>822</v>
      </c>
      <c r="Y41" s="34" t="s">
        <v>826</v>
      </c>
    </row>
    <row r="42" spans="1:25" s="34" customFormat="1" ht="18" customHeight="1" outlineLevel="1" x14ac:dyDescent="0.25">
      <c r="A42" s="123">
        <v>18</v>
      </c>
      <c r="B42" s="32">
        <v>109</v>
      </c>
      <c r="C42" s="103" t="s">
        <v>776</v>
      </c>
      <c r="D42" s="96"/>
      <c r="E42" s="30"/>
      <c r="F42" s="30" t="s">
        <v>778</v>
      </c>
      <c r="G42" s="207" t="s">
        <v>865</v>
      </c>
      <c r="H42" s="77">
        <v>814.52</v>
      </c>
      <c r="I42" s="77">
        <v>823.48</v>
      </c>
      <c r="J42" s="77">
        <v>0.54</v>
      </c>
      <c r="K42" s="71">
        <f t="shared" si="2"/>
        <v>194.67495219885276</v>
      </c>
      <c r="L42" s="149">
        <f t="shared" si="3"/>
        <v>196.81644359464627</v>
      </c>
      <c r="M42" s="146">
        <f t="shared" si="4"/>
        <v>0.12906309751434034</v>
      </c>
      <c r="N42" s="146">
        <v>198.19659999999999</v>
      </c>
      <c r="O42" s="147"/>
      <c r="P42" s="147"/>
      <c r="Q42" s="147"/>
      <c r="R42" s="147"/>
      <c r="S42" s="147"/>
      <c r="T42" s="147"/>
      <c r="U42" s="147"/>
      <c r="V42" s="147">
        <v>217.8304</v>
      </c>
      <c r="X42" s="34" t="s">
        <v>821</v>
      </c>
      <c r="Y42" s="34" t="s">
        <v>826</v>
      </c>
    </row>
    <row r="43" spans="1:25" s="34" customFormat="1" ht="18" customHeight="1" outlineLevel="1" x14ac:dyDescent="0.25">
      <c r="A43" s="123">
        <v>19</v>
      </c>
      <c r="B43" s="32">
        <v>110</v>
      </c>
      <c r="C43" s="103" t="s">
        <v>785</v>
      </c>
      <c r="D43" s="96"/>
      <c r="E43" s="30"/>
      <c r="F43" s="30" t="s">
        <v>786</v>
      </c>
      <c r="G43" s="207" t="s">
        <v>864</v>
      </c>
      <c r="H43" s="77">
        <v>717.95</v>
      </c>
      <c r="I43" s="77">
        <v>722.3</v>
      </c>
      <c r="J43" s="77">
        <v>0.81</v>
      </c>
      <c r="K43" s="71">
        <f t="shared" si="2"/>
        <v>171.59416826003826</v>
      </c>
      <c r="L43" s="149">
        <f t="shared" si="3"/>
        <v>172.63384321223708</v>
      </c>
      <c r="M43" s="146">
        <f t="shared" si="4"/>
        <v>0.19359464627151052</v>
      </c>
      <c r="N43" s="146">
        <v>174.1532</v>
      </c>
      <c r="O43" s="147"/>
      <c r="P43" s="147"/>
      <c r="Q43" s="147"/>
      <c r="R43" s="147"/>
      <c r="S43" s="147"/>
      <c r="T43" s="147"/>
      <c r="U43" s="147"/>
      <c r="V43" s="147">
        <v>179.3347</v>
      </c>
      <c r="X43" s="34" t="s">
        <v>821</v>
      </c>
      <c r="Y43" s="34" t="s">
        <v>828</v>
      </c>
    </row>
    <row r="44" spans="1:25" s="34" customFormat="1" ht="18" customHeight="1" outlineLevel="1" x14ac:dyDescent="0.25">
      <c r="A44" s="123">
        <v>20</v>
      </c>
      <c r="B44" s="32">
        <v>111</v>
      </c>
      <c r="C44" s="103" t="s">
        <v>777</v>
      </c>
      <c r="D44" s="96"/>
      <c r="E44" s="30"/>
      <c r="F44" s="30" t="s">
        <v>779</v>
      </c>
      <c r="G44" s="207" t="s">
        <v>863</v>
      </c>
      <c r="H44" s="77">
        <v>543.38</v>
      </c>
      <c r="I44" s="77">
        <v>546.38</v>
      </c>
      <c r="J44" s="77">
        <v>0.63</v>
      </c>
      <c r="K44" s="71">
        <f t="shared" si="2"/>
        <v>129.87093690248565</v>
      </c>
      <c r="L44" s="149">
        <f t="shared" si="3"/>
        <v>130.58795411089866</v>
      </c>
      <c r="M44" s="146">
        <f t="shared" si="4"/>
        <v>0.1505736137667304</v>
      </c>
      <c r="N44" s="146">
        <v>132.04929999999999</v>
      </c>
      <c r="O44" s="147"/>
      <c r="P44" s="147"/>
      <c r="Q44" s="147"/>
      <c r="R44" s="147"/>
      <c r="S44" s="147"/>
      <c r="T44" s="147"/>
      <c r="U44" s="147"/>
      <c r="V44" s="147">
        <v>119.55759999999999</v>
      </c>
      <c r="X44" s="34" t="s">
        <v>821</v>
      </c>
      <c r="Y44" s="34" t="s">
        <v>829</v>
      </c>
    </row>
    <row r="45" spans="1:25" s="34" customFormat="1" ht="18" customHeight="1" outlineLevel="1" x14ac:dyDescent="0.25">
      <c r="A45" s="123">
        <v>21</v>
      </c>
      <c r="B45" s="32">
        <v>112</v>
      </c>
      <c r="C45" s="103" t="s">
        <v>782</v>
      </c>
      <c r="D45" s="96" t="s">
        <v>577</v>
      </c>
      <c r="E45" s="30"/>
      <c r="F45" s="30" t="s">
        <v>779</v>
      </c>
      <c r="G45" s="152" t="s">
        <v>857</v>
      </c>
      <c r="H45" s="77">
        <v>554.45000000000005</v>
      </c>
      <c r="I45" s="77">
        <v>555.59</v>
      </c>
      <c r="J45" s="77">
        <v>0.42</v>
      </c>
      <c r="K45" s="71">
        <f t="shared" si="2"/>
        <v>132.51673040152966</v>
      </c>
      <c r="L45" s="149">
        <f t="shared" si="3"/>
        <v>132.78919694072658</v>
      </c>
      <c r="M45" s="146">
        <f t="shared" si="4"/>
        <v>0.10038240917782026</v>
      </c>
      <c r="N45" s="146">
        <v>134.28720000000001</v>
      </c>
      <c r="O45" s="147"/>
      <c r="P45" s="147"/>
      <c r="Q45" s="147"/>
      <c r="R45" s="147"/>
      <c r="S45" s="147"/>
      <c r="T45" s="147"/>
      <c r="U45" s="147"/>
      <c r="V45" s="147">
        <v>156.61099999999999</v>
      </c>
      <c r="X45" s="34" t="s">
        <v>821</v>
      </c>
      <c r="Y45" s="34" t="s">
        <v>826</v>
      </c>
    </row>
    <row r="46" spans="1:25" s="34" customFormat="1" ht="18" customHeight="1" outlineLevel="1" x14ac:dyDescent="0.25">
      <c r="A46" s="123">
        <v>22</v>
      </c>
      <c r="B46" s="91">
        <v>113</v>
      </c>
      <c r="C46" s="104" t="s">
        <v>799</v>
      </c>
      <c r="D46" s="96"/>
      <c r="E46" s="30"/>
      <c r="F46" s="30" t="s">
        <v>779</v>
      </c>
      <c r="G46" s="152" t="s">
        <v>868</v>
      </c>
      <c r="H46" s="77">
        <v>497.07</v>
      </c>
      <c r="I46" s="77">
        <v>496.12</v>
      </c>
      <c r="J46" s="77">
        <v>0.47</v>
      </c>
      <c r="K46" s="71">
        <f t="shared" si="2"/>
        <v>118.80258126195028</v>
      </c>
      <c r="L46" s="149">
        <f t="shared" si="3"/>
        <v>118.5755258126195</v>
      </c>
      <c r="M46" s="146">
        <f t="shared" si="4"/>
        <v>0.11233269598470362</v>
      </c>
      <c r="N46" s="146">
        <v>120.4165</v>
      </c>
      <c r="O46" s="147"/>
      <c r="P46" s="147"/>
      <c r="Q46" s="147"/>
      <c r="R46" s="147"/>
      <c r="S46" s="147"/>
      <c r="T46" s="147"/>
      <c r="U46" s="147"/>
      <c r="V46" s="147">
        <v>165.47</v>
      </c>
      <c r="X46" s="34" t="s">
        <v>821</v>
      </c>
      <c r="Y46" s="34" t="s">
        <v>843</v>
      </c>
    </row>
    <row r="47" spans="1:25" s="34" customFormat="1" ht="18" customHeight="1" outlineLevel="1" x14ac:dyDescent="0.25">
      <c r="A47" s="123">
        <v>23</v>
      </c>
      <c r="B47" s="32">
        <v>9</v>
      </c>
      <c r="C47" s="105" t="s">
        <v>97</v>
      </c>
      <c r="D47" s="104"/>
      <c r="E47" s="34" t="s">
        <v>671</v>
      </c>
      <c r="F47" s="30" t="s">
        <v>669</v>
      </c>
      <c r="G47" s="152" t="s">
        <v>98</v>
      </c>
      <c r="H47" s="70">
        <v>354</v>
      </c>
      <c r="I47" s="70">
        <v>351.44</v>
      </c>
      <c r="J47" s="70">
        <v>0.38</v>
      </c>
      <c r="K47" s="70">
        <f t="shared" si="2"/>
        <v>84.608030592734224</v>
      </c>
      <c r="L47" s="146">
        <f t="shared" si="3"/>
        <v>83.996175908221787</v>
      </c>
      <c r="M47" s="146">
        <f t="shared" si="4"/>
        <v>9.0822179732313574E-2</v>
      </c>
      <c r="N47" s="146">
        <v>85.372600000000006</v>
      </c>
      <c r="O47" s="147"/>
      <c r="P47" s="147"/>
      <c r="Q47" s="147"/>
      <c r="R47" s="147"/>
      <c r="S47" s="147"/>
      <c r="T47" s="147"/>
      <c r="U47" s="147"/>
      <c r="V47" s="147">
        <v>92.888999999999996</v>
      </c>
      <c r="X47" s="34" t="s">
        <v>821</v>
      </c>
      <c r="Y47" s="34" t="s">
        <v>826</v>
      </c>
    </row>
    <row r="48" spans="1:25" s="34" customFormat="1" ht="18" customHeight="1" outlineLevel="1" x14ac:dyDescent="0.25">
      <c r="A48" s="123">
        <v>24</v>
      </c>
      <c r="B48" s="32">
        <v>10</v>
      </c>
      <c r="C48" s="104" t="s">
        <v>93</v>
      </c>
      <c r="D48" s="96"/>
      <c r="E48" s="30"/>
      <c r="F48" s="30" t="s">
        <v>669</v>
      </c>
      <c r="G48" s="152" t="s">
        <v>670</v>
      </c>
      <c r="H48" s="70">
        <v>529</v>
      </c>
      <c r="I48" s="70">
        <v>526.64</v>
      </c>
      <c r="J48" s="70">
        <v>0.81</v>
      </c>
      <c r="K48" s="70">
        <f t="shared" si="2"/>
        <v>126.43403441682599</v>
      </c>
      <c r="L48" s="146">
        <f t="shared" si="3"/>
        <v>125.8699808795411</v>
      </c>
      <c r="M48" s="146">
        <f t="shared" si="4"/>
        <v>0.19359464627151052</v>
      </c>
      <c r="N48" s="146">
        <v>128.44309999999999</v>
      </c>
      <c r="O48" s="147"/>
      <c r="P48" s="147"/>
      <c r="Q48" s="147"/>
      <c r="R48" s="147"/>
      <c r="S48" s="147"/>
      <c r="T48" s="147"/>
      <c r="U48" s="147"/>
      <c r="V48" s="147">
        <v>153.47989999999999</v>
      </c>
      <c r="X48" s="34" t="s">
        <v>821</v>
      </c>
      <c r="Y48" s="34" t="s">
        <v>844</v>
      </c>
    </row>
    <row r="49" spans="1:25" s="34" customFormat="1" ht="18" customHeight="1" outlineLevel="1" x14ac:dyDescent="0.25">
      <c r="A49" s="123">
        <v>25</v>
      </c>
      <c r="B49" s="32">
        <v>11</v>
      </c>
      <c r="C49" s="104" t="s">
        <v>94</v>
      </c>
      <c r="D49" s="96"/>
      <c r="E49" s="30"/>
      <c r="F49" s="30" t="s">
        <v>669</v>
      </c>
      <c r="G49" s="152" t="s">
        <v>672</v>
      </c>
      <c r="H49" s="70">
        <v>528.11</v>
      </c>
      <c r="I49" s="70">
        <v>523.53</v>
      </c>
      <c r="J49" s="70">
        <v>0.78</v>
      </c>
      <c r="K49" s="70">
        <f t="shared" si="2"/>
        <v>126.22131931166348</v>
      </c>
      <c r="L49" s="146">
        <f t="shared" si="3"/>
        <v>125.12667304015295</v>
      </c>
      <c r="M49" s="146">
        <f t="shared" si="4"/>
        <v>0.18642447418738051</v>
      </c>
      <c r="N49" s="146">
        <v>126.82769999999999</v>
      </c>
      <c r="O49" s="147"/>
      <c r="P49" s="147"/>
      <c r="Q49" s="147"/>
      <c r="R49" s="147"/>
      <c r="S49" s="147"/>
      <c r="T49" s="147"/>
      <c r="U49" s="147"/>
      <c r="V49" s="147">
        <v>167.9237</v>
      </c>
      <c r="X49" s="34" t="s">
        <v>821</v>
      </c>
      <c r="Y49" s="34" t="s">
        <v>826</v>
      </c>
    </row>
    <row r="50" spans="1:25" s="34" customFormat="1" ht="18" customHeight="1" outlineLevel="1" x14ac:dyDescent="0.25">
      <c r="A50" s="123">
        <v>26</v>
      </c>
      <c r="B50" s="32">
        <v>12</v>
      </c>
      <c r="C50" s="104" t="s">
        <v>95</v>
      </c>
      <c r="D50" s="96"/>
      <c r="E50" s="30"/>
      <c r="F50" s="30" t="s">
        <v>669</v>
      </c>
      <c r="G50" s="152" t="s">
        <v>673</v>
      </c>
      <c r="H50" s="70">
        <v>491.03</v>
      </c>
      <c r="I50" s="70">
        <v>486.42</v>
      </c>
      <c r="J50" s="70">
        <v>0.77</v>
      </c>
      <c r="K50" s="70">
        <f t="shared" si="2"/>
        <v>117.35898661567876</v>
      </c>
      <c r="L50" s="146">
        <f t="shared" si="3"/>
        <v>116.25717017208413</v>
      </c>
      <c r="M50" s="146">
        <f t="shared" si="4"/>
        <v>0.18403441682600383</v>
      </c>
      <c r="N50" s="146">
        <v>118.3678</v>
      </c>
      <c r="O50" s="147"/>
      <c r="P50" s="147"/>
      <c r="Q50" s="147"/>
      <c r="R50" s="147"/>
      <c r="S50" s="147"/>
      <c r="T50" s="147"/>
      <c r="U50" s="147"/>
      <c r="V50" s="147">
        <v>128.6</v>
      </c>
      <c r="X50" s="34" t="s">
        <v>821</v>
      </c>
      <c r="Y50" s="34" t="s">
        <v>830</v>
      </c>
    </row>
    <row r="51" spans="1:25" s="34" customFormat="1" ht="18" customHeight="1" outlineLevel="1" x14ac:dyDescent="0.25">
      <c r="A51" s="123">
        <v>27</v>
      </c>
      <c r="B51" s="32">
        <v>13</v>
      </c>
      <c r="C51" s="101" t="s">
        <v>63</v>
      </c>
      <c r="D51" s="104" t="s">
        <v>589</v>
      </c>
      <c r="E51" s="34" t="s">
        <v>590</v>
      </c>
      <c r="F51" s="30" t="s">
        <v>591</v>
      </c>
      <c r="G51" s="152" t="s">
        <v>64</v>
      </c>
      <c r="H51" s="70">
        <v>197.32</v>
      </c>
      <c r="I51" s="70">
        <v>189.86</v>
      </c>
      <c r="J51" s="70">
        <v>0.26</v>
      </c>
      <c r="K51" s="70">
        <f t="shared" si="2"/>
        <v>47.160611854684511</v>
      </c>
      <c r="L51" s="146">
        <f t="shared" si="3"/>
        <v>45.377629063097515</v>
      </c>
      <c r="M51" s="146">
        <f t="shared" si="4"/>
        <v>6.2141491395793495E-2</v>
      </c>
      <c r="N51" s="146">
        <v>46.842199999999998</v>
      </c>
      <c r="O51" s="147"/>
      <c r="P51" s="147"/>
      <c r="Q51" s="147"/>
      <c r="R51" s="147"/>
      <c r="S51" s="147"/>
      <c r="T51" s="147"/>
      <c r="U51" s="147"/>
      <c r="V51" s="147">
        <v>73.717399999999998</v>
      </c>
      <c r="X51" s="34" t="s">
        <v>822</v>
      </c>
      <c r="Y51" s="34" t="s">
        <v>826</v>
      </c>
    </row>
    <row r="52" spans="1:25" s="34" customFormat="1" ht="18" customHeight="1" outlineLevel="1" x14ac:dyDescent="0.25">
      <c r="A52" s="123">
        <v>28</v>
      </c>
      <c r="B52" s="32">
        <v>14</v>
      </c>
      <c r="C52" s="101" t="s">
        <v>65</v>
      </c>
      <c r="D52" s="104" t="s">
        <v>603</v>
      </c>
      <c r="E52" s="34" t="s">
        <v>604</v>
      </c>
      <c r="F52" s="30" t="s">
        <v>605</v>
      </c>
      <c r="G52" s="152" t="s">
        <v>66</v>
      </c>
      <c r="H52" s="70">
        <v>192.8</v>
      </c>
      <c r="I52" s="70">
        <v>185.74</v>
      </c>
      <c r="J52" s="70">
        <v>0.25</v>
      </c>
      <c r="K52" s="70">
        <f t="shared" si="2"/>
        <v>46.080305927342259</v>
      </c>
      <c r="L52" s="146">
        <f t="shared" si="3"/>
        <v>44.392925430210326</v>
      </c>
      <c r="M52" s="146">
        <f t="shared" si="4"/>
        <v>5.9751434034416823E-2</v>
      </c>
      <c r="N52" s="146">
        <v>46.094299999999997</v>
      </c>
      <c r="O52" s="147"/>
      <c r="P52" s="147"/>
      <c r="Q52" s="147"/>
      <c r="R52" s="147"/>
      <c r="S52" s="147"/>
      <c r="T52" s="147"/>
      <c r="U52" s="147"/>
      <c r="V52" s="147">
        <v>71.364000000000004</v>
      </c>
      <c r="X52" s="34" t="s">
        <v>822</v>
      </c>
      <c r="Y52" s="34" t="s">
        <v>826</v>
      </c>
    </row>
    <row r="53" spans="1:25" s="34" customFormat="1" ht="18" customHeight="1" outlineLevel="1" x14ac:dyDescent="0.25">
      <c r="A53" s="123">
        <v>29</v>
      </c>
      <c r="B53" s="32">
        <v>15</v>
      </c>
      <c r="C53" s="101" t="s">
        <v>674</v>
      </c>
      <c r="D53" s="104"/>
      <c r="F53" s="30" t="s">
        <v>605</v>
      </c>
      <c r="G53" s="152" t="s">
        <v>675</v>
      </c>
      <c r="H53" s="70">
        <v>292.54000000000002</v>
      </c>
      <c r="I53" s="70">
        <v>283.82</v>
      </c>
      <c r="J53" s="70">
        <v>0.54</v>
      </c>
      <c r="K53" s="70">
        <f t="shared" si="2"/>
        <v>69.918738049713198</v>
      </c>
      <c r="L53" s="146">
        <f t="shared" si="3"/>
        <v>67.834608030592733</v>
      </c>
      <c r="M53" s="146">
        <f t="shared" si="4"/>
        <v>0.12906309751434034</v>
      </c>
      <c r="N53" s="146">
        <v>69.630899999999997</v>
      </c>
      <c r="O53" s="147"/>
      <c r="P53" s="147"/>
      <c r="Q53" s="147"/>
      <c r="R53" s="147"/>
      <c r="S53" s="147"/>
      <c r="T53" s="147"/>
      <c r="U53" s="147"/>
      <c r="V53" s="147">
        <v>103.2431</v>
      </c>
      <c r="X53" s="34" t="s">
        <v>821</v>
      </c>
      <c r="Y53" s="34" t="s">
        <v>826</v>
      </c>
    </row>
    <row r="54" spans="1:25" s="34" customFormat="1" ht="18" customHeight="1" outlineLevel="1" x14ac:dyDescent="0.25">
      <c r="A54" s="123">
        <v>30</v>
      </c>
      <c r="B54" s="32">
        <v>16</v>
      </c>
      <c r="C54" s="101" t="s">
        <v>89</v>
      </c>
      <c r="D54" s="104"/>
      <c r="F54" s="30" t="s">
        <v>681</v>
      </c>
      <c r="G54" s="152" t="s">
        <v>90</v>
      </c>
      <c r="H54" s="70">
        <v>179.56</v>
      </c>
      <c r="I54" s="70">
        <v>167.84</v>
      </c>
      <c r="J54" s="70">
        <v>0.54</v>
      </c>
      <c r="K54" s="70">
        <f t="shared" si="2"/>
        <v>42.915869980879542</v>
      </c>
      <c r="L54" s="146">
        <f t="shared" si="3"/>
        <v>40.114722753346079</v>
      </c>
      <c r="M54" s="146">
        <f t="shared" si="4"/>
        <v>0.12906309751434034</v>
      </c>
      <c r="N54" s="146">
        <v>41.464799999999997</v>
      </c>
      <c r="O54" s="147"/>
      <c r="P54" s="147"/>
      <c r="Q54" s="147"/>
      <c r="R54" s="147"/>
      <c r="S54" s="147"/>
      <c r="T54" s="147"/>
      <c r="U54" s="147"/>
      <c r="V54" s="147">
        <v>62.4756</v>
      </c>
      <c r="X54" s="34" t="s">
        <v>821</v>
      </c>
      <c r="Y54" s="34" t="s">
        <v>826</v>
      </c>
    </row>
    <row r="55" spans="1:25" s="34" customFormat="1" ht="18" customHeight="1" outlineLevel="1" x14ac:dyDescent="0.25">
      <c r="A55" s="123">
        <v>31</v>
      </c>
      <c r="B55" s="32">
        <v>17</v>
      </c>
      <c r="C55" s="101" t="s">
        <v>676</v>
      </c>
      <c r="D55" s="104"/>
      <c r="F55" s="30" t="s">
        <v>681</v>
      </c>
      <c r="G55" s="152" t="s">
        <v>677</v>
      </c>
      <c r="H55" s="70">
        <v>262.89999999999998</v>
      </c>
      <c r="I55" s="70">
        <v>252.56</v>
      </c>
      <c r="J55" s="70">
        <v>0.71</v>
      </c>
      <c r="K55" s="70">
        <f t="shared" si="2"/>
        <v>62.834608030592726</v>
      </c>
      <c r="L55" s="146">
        <f t="shared" si="3"/>
        <v>60.363288718929255</v>
      </c>
      <c r="M55" s="146">
        <f t="shared" si="4"/>
        <v>0.16969407265774378</v>
      </c>
      <c r="N55" s="146">
        <v>61.782400000000003</v>
      </c>
      <c r="O55" s="147"/>
      <c r="P55" s="147"/>
      <c r="Q55" s="147"/>
      <c r="R55" s="147"/>
      <c r="S55" s="147"/>
      <c r="T55" s="147"/>
      <c r="U55" s="147"/>
      <c r="V55" s="147">
        <v>78.074799999999996</v>
      </c>
      <c r="X55" s="34" t="s">
        <v>821</v>
      </c>
      <c r="Y55" s="34" t="s">
        <v>826</v>
      </c>
    </row>
    <row r="56" spans="1:25" s="34" customFormat="1" ht="18" customHeight="1" outlineLevel="1" x14ac:dyDescent="0.25">
      <c r="A56" s="123">
        <v>32</v>
      </c>
      <c r="B56" s="32">
        <v>18</v>
      </c>
      <c r="C56" s="101" t="s">
        <v>75</v>
      </c>
      <c r="D56" s="104"/>
      <c r="F56" s="30" t="s">
        <v>681</v>
      </c>
      <c r="G56" s="152" t="s">
        <v>678</v>
      </c>
      <c r="H56" s="70">
        <v>277.98</v>
      </c>
      <c r="I56" s="70">
        <v>267.19</v>
      </c>
      <c r="J56" s="70">
        <v>0.79</v>
      </c>
      <c r="K56" s="70">
        <f t="shared" si="2"/>
        <v>66.438814531548758</v>
      </c>
      <c r="L56" s="146">
        <f t="shared" si="3"/>
        <v>63.859942638623323</v>
      </c>
      <c r="M56" s="146">
        <f t="shared" si="4"/>
        <v>0.18881453154875716</v>
      </c>
      <c r="N56" s="146">
        <v>65.5839</v>
      </c>
      <c r="O56" s="147"/>
      <c r="P56" s="147"/>
      <c r="Q56" s="147"/>
      <c r="R56" s="147"/>
      <c r="S56" s="147"/>
      <c r="T56" s="147"/>
      <c r="U56" s="147"/>
      <c r="V56" s="147">
        <v>83.811800000000005</v>
      </c>
      <c r="X56" s="34" t="s">
        <v>821</v>
      </c>
      <c r="Y56" s="34" t="s">
        <v>826</v>
      </c>
    </row>
    <row r="57" spans="1:25" s="34" customFormat="1" ht="18" customHeight="1" outlineLevel="1" x14ac:dyDescent="0.25">
      <c r="A57" s="123">
        <v>33</v>
      </c>
      <c r="B57" s="32">
        <v>19</v>
      </c>
      <c r="C57" s="101" t="s">
        <v>74</v>
      </c>
      <c r="D57" s="104"/>
      <c r="F57" s="30" t="s">
        <v>681</v>
      </c>
      <c r="G57" s="152" t="s">
        <v>679</v>
      </c>
      <c r="H57" s="70">
        <v>280.02</v>
      </c>
      <c r="I57" s="70">
        <v>269.20999999999998</v>
      </c>
      <c r="J57" s="70">
        <v>0.81</v>
      </c>
      <c r="K57" s="70">
        <f t="shared" si="2"/>
        <v>66.926386233269596</v>
      </c>
      <c r="L57" s="146">
        <f t="shared" si="3"/>
        <v>64.342734225621413</v>
      </c>
      <c r="M57" s="146">
        <f t="shared" si="4"/>
        <v>0.19359464627151052</v>
      </c>
      <c r="N57" s="146">
        <v>65.997299999999996</v>
      </c>
      <c r="O57" s="147"/>
      <c r="P57" s="147"/>
      <c r="Q57" s="147"/>
      <c r="R57" s="147"/>
      <c r="S57" s="147"/>
      <c r="T57" s="147"/>
      <c r="U57" s="147"/>
      <c r="V57" s="147">
        <v>83.789100000000005</v>
      </c>
      <c r="X57" s="34" t="s">
        <v>821</v>
      </c>
      <c r="Y57" s="34" t="s">
        <v>826</v>
      </c>
    </row>
    <row r="58" spans="1:25" s="34" customFormat="1" ht="18" customHeight="1" outlineLevel="1" x14ac:dyDescent="0.25">
      <c r="A58" s="123">
        <v>34</v>
      </c>
      <c r="B58" s="32">
        <v>20</v>
      </c>
      <c r="C58" s="106" t="s">
        <v>96</v>
      </c>
      <c r="D58" s="104"/>
      <c r="F58" s="30" t="s">
        <v>681</v>
      </c>
      <c r="G58" s="152" t="s">
        <v>680</v>
      </c>
      <c r="H58" s="70">
        <v>302.8</v>
      </c>
      <c r="I58" s="70">
        <v>290.2</v>
      </c>
      <c r="J58" s="78">
        <v>1.6</v>
      </c>
      <c r="K58" s="70">
        <f t="shared" si="2"/>
        <v>72.370936902485653</v>
      </c>
      <c r="L58" s="146">
        <f t="shared" si="3"/>
        <v>69.359464627151041</v>
      </c>
      <c r="M58" s="146">
        <f t="shared" si="4"/>
        <v>0.38240917782026768</v>
      </c>
      <c r="N58" s="146">
        <v>71.715800000000002</v>
      </c>
      <c r="O58" s="147"/>
      <c r="P58" s="147"/>
      <c r="Q58" s="147"/>
      <c r="R58" s="147"/>
      <c r="S58" s="147"/>
      <c r="T58" s="147"/>
      <c r="U58" s="147"/>
      <c r="V58" s="147">
        <v>92.3292</v>
      </c>
      <c r="X58" s="34" t="s">
        <v>821</v>
      </c>
      <c r="Y58" s="34" t="s">
        <v>842</v>
      </c>
    </row>
    <row r="59" spans="1:25" s="34" customFormat="1" ht="18" customHeight="1" outlineLevel="1" x14ac:dyDescent="0.25">
      <c r="A59" s="123">
        <v>35</v>
      </c>
      <c r="B59" s="32">
        <v>21</v>
      </c>
      <c r="C59" s="101" t="s">
        <v>771</v>
      </c>
      <c r="D59" s="104" t="s">
        <v>601</v>
      </c>
      <c r="E59" s="34" t="s">
        <v>602</v>
      </c>
      <c r="F59" s="30" t="s">
        <v>607</v>
      </c>
      <c r="G59" s="152" t="s">
        <v>67</v>
      </c>
      <c r="H59" s="70">
        <v>35</v>
      </c>
      <c r="I59" s="70">
        <v>19.989999999999998</v>
      </c>
      <c r="J59" s="70">
        <v>0.22</v>
      </c>
      <c r="K59" s="70">
        <f t="shared" si="2"/>
        <v>8.3652007648183559</v>
      </c>
      <c r="L59" s="146">
        <f t="shared" si="3"/>
        <v>4.7777246653919692</v>
      </c>
      <c r="M59" s="146">
        <f t="shared" si="4"/>
        <v>5.2581261950286805E-2</v>
      </c>
      <c r="N59" s="146">
        <v>6.4499000000000004</v>
      </c>
      <c r="O59" s="147"/>
      <c r="P59" s="147"/>
      <c r="Q59" s="147"/>
      <c r="R59" s="147"/>
      <c r="S59" s="147"/>
      <c r="T59" s="147"/>
      <c r="U59" s="147"/>
      <c r="V59" s="147">
        <v>45.712800000000001</v>
      </c>
      <c r="X59" s="34" t="s">
        <v>822</v>
      </c>
      <c r="Y59" s="34" t="s">
        <v>826</v>
      </c>
    </row>
    <row r="60" spans="1:25" s="34" customFormat="1" ht="18" customHeight="1" outlineLevel="1" x14ac:dyDescent="0.25">
      <c r="A60" s="123">
        <v>36</v>
      </c>
      <c r="B60" s="32">
        <v>22</v>
      </c>
      <c r="C60" s="101" t="s">
        <v>91</v>
      </c>
      <c r="D60" s="104" t="s">
        <v>635</v>
      </c>
      <c r="E60" s="30" t="s">
        <v>634</v>
      </c>
      <c r="F60" s="30" t="s">
        <v>607</v>
      </c>
      <c r="G60" s="152" t="s">
        <v>633</v>
      </c>
      <c r="H60" s="70">
        <v>70.8</v>
      </c>
      <c r="I60" s="70">
        <v>53.65</v>
      </c>
      <c r="J60" s="70">
        <v>0.46</v>
      </c>
      <c r="K60" s="70">
        <f t="shared" si="2"/>
        <v>16.921606118546844</v>
      </c>
      <c r="L60" s="146">
        <f t="shared" si="3"/>
        <v>12.82265774378585</v>
      </c>
      <c r="M60" s="146">
        <f t="shared" si="4"/>
        <v>0.10994263862332695</v>
      </c>
      <c r="N60" s="146">
        <v>14.6279</v>
      </c>
      <c r="O60" s="147"/>
      <c r="P60" s="147"/>
      <c r="Q60" s="147"/>
      <c r="R60" s="147"/>
      <c r="S60" s="147"/>
      <c r="T60" s="147"/>
      <c r="U60" s="147"/>
      <c r="V60" s="147">
        <v>57.97</v>
      </c>
      <c r="X60" s="34" t="s">
        <v>822</v>
      </c>
      <c r="Y60" s="34" t="s">
        <v>826</v>
      </c>
    </row>
    <row r="61" spans="1:25" s="58" customFormat="1" ht="18" customHeight="1" outlineLevel="1" x14ac:dyDescent="0.25">
      <c r="A61" s="123">
        <v>37</v>
      </c>
      <c r="B61" s="32">
        <v>23</v>
      </c>
      <c r="C61" s="107" t="s">
        <v>70</v>
      </c>
      <c r="D61" s="152" t="s">
        <v>70</v>
      </c>
      <c r="E61" s="34"/>
      <c r="F61" s="31" t="s">
        <v>617</v>
      </c>
      <c r="G61" s="152" t="s">
        <v>71</v>
      </c>
      <c r="H61" s="70">
        <v>117.92</v>
      </c>
      <c r="I61" s="70">
        <v>100.81</v>
      </c>
      <c r="J61" s="70">
        <v>0.61</v>
      </c>
      <c r="K61" s="70">
        <f t="shared" si="2"/>
        <v>28.183556405353727</v>
      </c>
      <c r="L61" s="146">
        <f t="shared" si="3"/>
        <v>24.094168260038241</v>
      </c>
      <c r="M61" s="146">
        <f t="shared" si="4"/>
        <v>0.14579349904397704</v>
      </c>
      <c r="N61" s="146">
        <v>25.870999999999999</v>
      </c>
      <c r="O61" s="147"/>
      <c r="P61" s="147"/>
      <c r="Q61" s="147"/>
      <c r="R61" s="147"/>
      <c r="S61" s="147"/>
      <c r="T61" s="147"/>
      <c r="U61" s="147"/>
      <c r="V61" s="147">
        <v>52.500500000000002</v>
      </c>
      <c r="X61" s="58" t="s">
        <v>821</v>
      </c>
      <c r="Y61" s="58" t="s">
        <v>826</v>
      </c>
    </row>
    <row r="62" spans="1:25" s="58" customFormat="1" ht="18" customHeight="1" outlineLevel="1" x14ac:dyDescent="0.25">
      <c r="A62" s="123">
        <v>38</v>
      </c>
      <c r="B62" s="32">
        <v>24</v>
      </c>
      <c r="C62" s="102" t="s">
        <v>72</v>
      </c>
      <c r="D62" s="152" t="s">
        <v>72</v>
      </c>
      <c r="E62" s="34"/>
      <c r="F62" s="31" t="s">
        <v>616</v>
      </c>
      <c r="G62" s="152" t="s">
        <v>73</v>
      </c>
      <c r="H62" s="70">
        <v>105.28</v>
      </c>
      <c r="I62" s="70">
        <v>88.68</v>
      </c>
      <c r="J62" s="70">
        <v>0.67</v>
      </c>
      <c r="K62" s="70">
        <f t="shared" si="2"/>
        <v>25.162523900573614</v>
      </c>
      <c r="L62" s="146">
        <f t="shared" si="3"/>
        <v>21.195028680688338</v>
      </c>
      <c r="M62" s="146">
        <f t="shared" si="4"/>
        <v>0.16013384321223709</v>
      </c>
      <c r="N62" s="146">
        <v>22.6084</v>
      </c>
      <c r="O62" s="147"/>
      <c r="P62" s="147"/>
      <c r="Q62" s="147"/>
      <c r="R62" s="147"/>
      <c r="S62" s="147"/>
      <c r="T62" s="147"/>
      <c r="U62" s="147"/>
      <c r="V62" s="147">
        <v>46.7</v>
      </c>
      <c r="X62" s="58" t="s">
        <v>821</v>
      </c>
      <c r="Y62" s="58" t="s">
        <v>831</v>
      </c>
    </row>
    <row r="63" spans="1:25" s="34" customFormat="1" ht="18" customHeight="1" outlineLevel="1" x14ac:dyDescent="0.25">
      <c r="A63" s="123">
        <v>39</v>
      </c>
      <c r="B63" s="32">
        <v>25</v>
      </c>
      <c r="C63" s="102" t="s">
        <v>68</v>
      </c>
      <c r="D63" s="96" t="s">
        <v>610</v>
      </c>
      <c r="E63" s="30" t="s">
        <v>609</v>
      </c>
      <c r="F63" s="30" t="s">
        <v>606</v>
      </c>
      <c r="G63" s="152" t="s">
        <v>69</v>
      </c>
      <c r="H63" s="70">
        <v>-82.75</v>
      </c>
      <c r="I63" s="70">
        <v>-105.03</v>
      </c>
      <c r="J63" s="70">
        <v>0.19</v>
      </c>
      <c r="K63" s="70">
        <f t="shared" si="2"/>
        <v>-19.777724665391968</v>
      </c>
      <c r="L63" s="146">
        <f t="shared" si="3"/>
        <v>-25.102772466539196</v>
      </c>
      <c r="M63" s="146">
        <f t="shared" si="4"/>
        <v>4.5411089866156787E-2</v>
      </c>
      <c r="N63" s="146">
        <v>-23.677900000000001</v>
      </c>
      <c r="O63" s="147"/>
      <c r="P63" s="147"/>
      <c r="Q63" s="147"/>
      <c r="R63" s="147"/>
      <c r="S63" s="147"/>
      <c r="T63" s="147"/>
      <c r="U63" s="147"/>
      <c r="V63" s="147">
        <v>26.4359</v>
      </c>
      <c r="X63" s="34" t="s">
        <v>822</v>
      </c>
      <c r="Y63" s="34" t="s">
        <v>826</v>
      </c>
    </row>
    <row r="64" spans="1:25" s="34" customFormat="1" ht="18" customHeight="1" outlineLevel="1" x14ac:dyDescent="0.25">
      <c r="A64" s="123">
        <v>40</v>
      </c>
      <c r="B64" s="32">
        <v>130</v>
      </c>
      <c r="C64" s="103" t="s">
        <v>797</v>
      </c>
      <c r="D64" s="96"/>
      <c r="E64" s="30"/>
      <c r="F64" s="30" t="s">
        <v>798</v>
      </c>
      <c r="G64" s="152" t="s">
        <v>859</v>
      </c>
      <c r="H64" s="77">
        <v>458.57</v>
      </c>
      <c r="I64" s="77">
        <v>460.3</v>
      </c>
      <c r="J64" s="77">
        <v>0.86</v>
      </c>
      <c r="K64" s="71">
        <f t="shared" si="2"/>
        <v>109.60086042065009</v>
      </c>
      <c r="L64" s="149">
        <f t="shared" si="3"/>
        <v>110.01434034416826</v>
      </c>
      <c r="M64" s="146">
        <f t="shared" si="4"/>
        <v>0.20554493307839386</v>
      </c>
      <c r="N64" s="146">
        <v>112.54430000000001</v>
      </c>
      <c r="O64" s="147"/>
      <c r="P64" s="147"/>
      <c r="Q64" s="147"/>
      <c r="R64" s="147"/>
      <c r="S64" s="147"/>
      <c r="T64" s="147"/>
      <c r="U64" s="147"/>
      <c r="V64" s="147">
        <v>126.19370000000001</v>
      </c>
      <c r="X64" s="34" t="s">
        <v>822</v>
      </c>
      <c r="Y64" s="34" t="s">
        <v>826</v>
      </c>
    </row>
    <row r="65" spans="1:25" s="12" customFormat="1" ht="18" customHeight="1" outlineLevel="1" x14ac:dyDescent="0.25">
      <c r="A65" s="123">
        <v>41</v>
      </c>
      <c r="B65" s="32">
        <v>26</v>
      </c>
      <c r="C65" s="102" t="s">
        <v>216</v>
      </c>
      <c r="D65" s="96" t="s">
        <v>639</v>
      </c>
      <c r="E65" s="34" t="s">
        <v>640</v>
      </c>
      <c r="F65" s="30" t="s">
        <v>646</v>
      </c>
      <c r="G65" s="152" t="s">
        <v>217</v>
      </c>
      <c r="H65" s="70">
        <v>179.36</v>
      </c>
      <c r="I65" s="70">
        <v>165.77</v>
      </c>
      <c r="J65" s="70">
        <v>0.67</v>
      </c>
      <c r="K65" s="70">
        <f t="shared" si="2"/>
        <v>42.868068833652011</v>
      </c>
      <c r="L65" s="146">
        <f t="shared" si="3"/>
        <v>39.61998087954111</v>
      </c>
      <c r="M65" s="146">
        <f t="shared" si="4"/>
        <v>0.16013384321223709</v>
      </c>
      <c r="N65" s="146">
        <v>42.218000000000004</v>
      </c>
      <c r="O65" s="150"/>
      <c r="P65" s="150"/>
      <c r="Q65" s="150"/>
      <c r="R65" s="150"/>
      <c r="S65" s="150"/>
      <c r="T65" s="150"/>
      <c r="U65" s="150"/>
      <c r="V65" s="146">
        <v>79.666799999999995</v>
      </c>
      <c r="X65" s="34" t="s">
        <v>821</v>
      </c>
      <c r="Y65" s="12" t="s">
        <v>826</v>
      </c>
    </row>
    <row r="66" spans="1:25" s="12" customFormat="1" ht="18" customHeight="1" outlineLevel="1" x14ac:dyDescent="0.25">
      <c r="A66" s="123">
        <v>42</v>
      </c>
      <c r="B66" s="32">
        <v>27</v>
      </c>
      <c r="C66" s="102" t="s">
        <v>209</v>
      </c>
      <c r="D66" s="96" t="s">
        <v>209</v>
      </c>
      <c r="E66" s="34" t="s">
        <v>641</v>
      </c>
      <c r="F66" s="30" t="s">
        <v>646</v>
      </c>
      <c r="G66" s="152" t="s">
        <v>210</v>
      </c>
      <c r="H66" s="70">
        <v>158.96</v>
      </c>
      <c r="I66" s="70">
        <v>146</v>
      </c>
      <c r="J66" s="70">
        <v>0.59</v>
      </c>
      <c r="K66" s="70">
        <f t="shared" si="2"/>
        <v>37.992351816443595</v>
      </c>
      <c r="L66" s="146">
        <f t="shared" si="3"/>
        <v>34.894837476099426</v>
      </c>
      <c r="M66" s="146">
        <f t="shared" si="4"/>
        <v>0.14101338432122371</v>
      </c>
      <c r="N66" s="146">
        <v>37.271799999999999</v>
      </c>
      <c r="O66" s="150"/>
      <c r="P66" s="150"/>
      <c r="Q66" s="150"/>
      <c r="R66" s="150"/>
      <c r="S66" s="150"/>
      <c r="T66" s="150"/>
      <c r="U66" s="150"/>
      <c r="V66" s="147">
        <v>73.857299999999995</v>
      </c>
      <c r="X66" s="34" t="s">
        <v>822</v>
      </c>
      <c r="Y66" s="12" t="s">
        <v>826</v>
      </c>
    </row>
    <row r="67" spans="1:25" s="12" customFormat="1" ht="18" customHeight="1" outlineLevel="1" x14ac:dyDescent="0.25">
      <c r="A67" s="123">
        <v>43</v>
      </c>
      <c r="B67" s="32">
        <v>28</v>
      </c>
      <c r="C67" s="102" t="s">
        <v>637</v>
      </c>
      <c r="D67" s="96" t="s">
        <v>642</v>
      </c>
      <c r="E67" s="30" t="s">
        <v>643</v>
      </c>
      <c r="F67" s="30" t="s">
        <v>646</v>
      </c>
      <c r="G67" s="152" t="s">
        <v>638</v>
      </c>
      <c r="H67" s="70">
        <v>125.05</v>
      </c>
      <c r="I67" s="70">
        <v>110.57</v>
      </c>
      <c r="J67" s="70">
        <v>0.42</v>
      </c>
      <c r="K67" s="70">
        <f t="shared" si="2"/>
        <v>29.887667304015295</v>
      </c>
      <c r="L67" s="146">
        <f t="shared" si="3"/>
        <v>26.426864244741871</v>
      </c>
      <c r="M67" s="146">
        <f t="shared" si="4"/>
        <v>0.10038240917782026</v>
      </c>
      <c r="N67" s="146">
        <v>28.973099999999999</v>
      </c>
      <c r="O67" s="150"/>
      <c r="P67" s="150"/>
      <c r="Q67" s="150"/>
      <c r="R67" s="150"/>
      <c r="S67" s="150"/>
      <c r="T67" s="150"/>
      <c r="U67" s="150"/>
      <c r="V67" s="147">
        <v>72.309299999999993</v>
      </c>
      <c r="X67" s="34" t="s">
        <v>822</v>
      </c>
      <c r="Y67" s="12" t="s">
        <v>826</v>
      </c>
    </row>
    <row r="68" spans="1:25" s="12" customFormat="1" ht="18" customHeight="1" outlineLevel="1" x14ac:dyDescent="0.25">
      <c r="A68" s="123">
        <v>44</v>
      </c>
      <c r="B68" s="32">
        <v>29</v>
      </c>
      <c r="C68" s="102" t="s">
        <v>218</v>
      </c>
      <c r="D68" s="96" t="s">
        <v>218</v>
      </c>
      <c r="E68" s="34" t="s">
        <v>644</v>
      </c>
      <c r="F68" s="30" t="s">
        <v>646</v>
      </c>
      <c r="G68" s="96" t="s">
        <v>645</v>
      </c>
      <c r="H68" s="70">
        <v>176.79</v>
      </c>
      <c r="I68" s="70">
        <v>159.74</v>
      </c>
      <c r="J68" s="70">
        <v>0.93</v>
      </c>
      <c r="K68" s="70">
        <f t="shared" si="2"/>
        <v>42.253824091778199</v>
      </c>
      <c r="L68" s="146">
        <f t="shared" si="3"/>
        <v>38.178776290630978</v>
      </c>
      <c r="M68" s="146">
        <f t="shared" si="4"/>
        <v>0.22227533460803059</v>
      </c>
      <c r="N68" s="146">
        <v>41.037799999999997</v>
      </c>
      <c r="O68" s="150"/>
      <c r="P68" s="150"/>
      <c r="Q68" s="150"/>
      <c r="R68" s="150"/>
      <c r="S68" s="150"/>
      <c r="T68" s="150"/>
      <c r="U68" s="150"/>
      <c r="V68" s="147">
        <v>88.604600000000005</v>
      </c>
      <c r="X68" s="34" t="s">
        <v>821</v>
      </c>
      <c r="Y68" s="12" t="s">
        <v>826</v>
      </c>
    </row>
    <row r="69" spans="1:25" s="12" customFormat="1" ht="18" customHeight="1" outlineLevel="1" x14ac:dyDescent="0.25">
      <c r="A69" s="123">
        <v>45</v>
      </c>
      <c r="B69" s="32">
        <v>30</v>
      </c>
      <c r="C69" s="107" t="s">
        <v>211</v>
      </c>
      <c r="D69" s="96" t="s">
        <v>623</v>
      </c>
      <c r="E69" s="34" t="s">
        <v>624</v>
      </c>
      <c r="F69" s="31" t="s">
        <v>682</v>
      </c>
      <c r="G69" s="96" t="s">
        <v>625</v>
      </c>
      <c r="H69" s="70">
        <v>20.88</v>
      </c>
      <c r="I69" s="70">
        <v>-0.08</v>
      </c>
      <c r="J69" s="70">
        <v>0.38</v>
      </c>
      <c r="K69" s="70">
        <f t="shared" si="2"/>
        <v>4.9904397705544925</v>
      </c>
      <c r="L69" s="146">
        <f t="shared" si="3"/>
        <v>-1.9120458891013385E-2</v>
      </c>
      <c r="M69" s="146">
        <f t="shared" si="4"/>
        <v>9.0822179732313574E-2</v>
      </c>
      <c r="N69" s="146">
        <v>2.3759999999999999</v>
      </c>
      <c r="O69" s="150"/>
      <c r="P69" s="150"/>
      <c r="Q69" s="150"/>
      <c r="R69" s="150"/>
      <c r="S69" s="150"/>
      <c r="T69" s="150"/>
      <c r="U69" s="150"/>
      <c r="V69" s="147">
        <v>53.577100000000002</v>
      </c>
      <c r="X69" s="34" t="s">
        <v>821</v>
      </c>
      <c r="Y69" s="12" t="s">
        <v>826</v>
      </c>
    </row>
    <row r="70" spans="1:25" s="12" customFormat="1" ht="18" customHeight="1" outlineLevel="1" x14ac:dyDescent="0.25">
      <c r="A70" s="123">
        <v>46</v>
      </c>
      <c r="B70" s="32">
        <v>31</v>
      </c>
      <c r="C70" s="152" t="s">
        <v>212</v>
      </c>
      <c r="D70" s="152" t="s">
        <v>626</v>
      </c>
      <c r="E70" s="31"/>
      <c r="F70" s="31" t="s">
        <v>682</v>
      </c>
      <c r="G70" s="152" t="s">
        <v>213</v>
      </c>
      <c r="H70" s="70">
        <v>13.95</v>
      </c>
      <c r="I70" s="70">
        <v>-7.32</v>
      </c>
      <c r="J70" s="70">
        <v>0.42</v>
      </c>
      <c r="K70" s="70">
        <f t="shared" si="2"/>
        <v>3.3341300191204586</v>
      </c>
      <c r="L70" s="146">
        <f t="shared" si="3"/>
        <v>-1.7495219885277247</v>
      </c>
      <c r="M70" s="146">
        <f t="shared" si="4"/>
        <v>0.10038240917782026</v>
      </c>
      <c r="N70" s="146">
        <v>0.74670000000000003</v>
      </c>
      <c r="O70" s="150"/>
      <c r="P70" s="150"/>
      <c r="Q70" s="150"/>
      <c r="R70" s="150"/>
      <c r="S70" s="150"/>
      <c r="T70" s="150"/>
      <c r="U70" s="150"/>
      <c r="V70" s="147">
        <v>50.448900000000002</v>
      </c>
      <c r="X70" s="12" t="s">
        <v>823</v>
      </c>
      <c r="Y70" s="12" t="s">
        <v>832</v>
      </c>
    </row>
    <row r="71" spans="1:25" s="12" customFormat="1" ht="18" customHeight="1" outlineLevel="1" x14ac:dyDescent="0.25">
      <c r="A71" s="123">
        <v>47</v>
      </c>
      <c r="B71" s="32">
        <v>32</v>
      </c>
      <c r="C71" s="107" t="s">
        <v>214</v>
      </c>
      <c r="D71" s="152" t="s">
        <v>627</v>
      </c>
      <c r="E71" s="31"/>
      <c r="F71" s="31" t="s">
        <v>682</v>
      </c>
      <c r="G71" s="152" t="s">
        <v>215</v>
      </c>
      <c r="H71" s="70">
        <v>9.26</v>
      </c>
      <c r="I71" s="70">
        <v>-11.3</v>
      </c>
      <c r="J71" s="70">
        <v>0.41</v>
      </c>
      <c r="K71" s="70">
        <f t="shared" si="2"/>
        <v>2.2131931166347991</v>
      </c>
      <c r="L71" s="146">
        <f t="shared" si="3"/>
        <v>-2.7007648183556405</v>
      </c>
      <c r="M71" s="146">
        <f t="shared" si="4"/>
        <v>9.7992351816443585E-2</v>
      </c>
      <c r="N71" s="146">
        <v>-0.41930000000000001</v>
      </c>
      <c r="O71" s="150"/>
      <c r="P71" s="150"/>
      <c r="Q71" s="150"/>
      <c r="R71" s="150"/>
      <c r="S71" s="150"/>
      <c r="T71" s="150"/>
      <c r="U71" s="150"/>
      <c r="V71" s="147">
        <v>49.734900000000003</v>
      </c>
      <c r="X71" s="12" t="s">
        <v>823</v>
      </c>
      <c r="Y71" s="12" t="s">
        <v>826</v>
      </c>
    </row>
    <row r="72" spans="1:25" s="34" customFormat="1" ht="18" customHeight="1" outlineLevel="1" x14ac:dyDescent="0.25">
      <c r="A72" s="123">
        <v>48</v>
      </c>
      <c r="B72" s="32">
        <v>33</v>
      </c>
      <c r="C72" s="107" t="s">
        <v>628</v>
      </c>
      <c r="D72" s="152" t="s">
        <v>629</v>
      </c>
      <c r="E72" s="31" t="s">
        <v>630</v>
      </c>
      <c r="F72" s="31" t="s">
        <v>682</v>
      </c>
      <c r="G72" s="146" t="s">
        <v>631</v>
      </c>
      <c r="H72" s="70">
        <v>3.92</v>
      </c>
      <c r="I72" s="70">
        <v>-17.149999999999999</v>
      </c>
      <c r="J72" s="70">
        <v>0.44</v>
      </c>
      <c r="K72" s="70">
        <f t="shared" si="2"/>
        <v>0.93690248565965573</v>
      </c>
      <c r="L72" s="146">
        <f t="shared" si="3"/>
        <v>-4.0989483747609938</v>
      </c>
      <c r="M72" s="146">
        <f t="shared" si="4"/>
        <v>0.10516252390057361</v>
      </c>
      <c r="N72" s="146">
        <v>-1.8254999999999999</v>
      </c>
      <c r="O72" s="147"/>
      <c r="P72" s="147"/>
      <c r="Q72" s="147"/>
      <c r="R72" s="147"/>
      <c r="S72" s="147"/>
      <c r="T72" s="147"/>
      <c r="U72" s="147"/>
      <c r="V72" s="147">
        <v>51.747399999999999</v>
      </c>
      <c r="X72" s="12" t="s">
        <v>822</v>
      </c>
      <c r="Y72" s="34" t="s">
        <v>826</v>
      </c>
    </row>
    <row r="73" spans="1:25" s="34" customFormat="1" ht="18" customHeight="1" outlineLevel="1" x14ac:dyDescent="0.25">
      <c r="A73" s="123">
        <v>49</v>
      </c>
      <c r="B73" s="32">
        <v>34</v>
      </c>
      <c r="C73" s="102" t="s">
        <v>784</v>
      </c>
      <c r="D73" s="96" t="s">
        <v>632</v>
      </c>
      <c r="E73" s="31" t="s">
        <v>636</v>
      </c>
      <c r="F73" s="31" t="s">
        <v>682</v>
      </c>
      <c r="G73" s="152" t="s">
        <v>92</v>
      </c>
      <c r="H73" s="70">
        <v>52.17</v>
      </c>
      <c r="I73" s="70">
        <v>27.63</v>
      </c>
      <c r="J73" s="70">
        <v>0.47</v>
      </c>
      <c r="K73" s="70">
        <f t="shared" si="2"/>
        <v>12.468929254302104</v>
      </c>
      <c r="L73" s="146">
        <f t="shared" si="3"/>
        <v>6.6037284894837471</v>
      </c>
      <c r="M73" s="146">
        <f t="shared" si="4"/>
        <v>0.11233269598470362</v>
      </c>
      <c r="N73" s="146">
        <v>9.7477999999999998</v>
      </c>
      <c r="O73" s="147"/>
      <c r="P73" s="147"/>
      <c r="Q73" s="147"/>
      <c r="R73" s="147"/>
      <c r="S73" s="147"/>
      <c r="T73" s="147"/>
      <c r="U73" s="147"/>
      <c r="V73" s="147">
        <v>53.596899999999998</v>
      </c>
      <c r="X73" s="12" t="s">
        <v>823</v>
      </c>
      <c r="Y73" s="34" t="s">
        <v>833</v>
      </c>
    </row>
    <row r="74" spans="1:25" s="34" customFormat="1" ht="18" customHeight="1" outlineLevel="1" x14ac:dyDescent="0.25">
      <c r="A74" s="123">
        <v>50</v>
      </c>
      <c r="B74" s="32">
        <v>35</v>
      </c>
      <c r="C74" s="96" t="s">
        <v>686</v>
      </c>
      <c r="D74" s="96"/>
      <c r="E74" s="31"/>
      <c r="F74" s="31" t="s">
        <v>682</v>
      </c>
      <c r="G74" s="152" t="s">
        <v>687</v>
      </c>
      <c r="H74" s="70">
        <v>47.5</v>
      </c>
      <c r="I74" s="70">
        <v>24.3</v>
      </c>
      <c r="J74" s="78">
        <v>1.3</v>
      </c>
      <c r="K74" s="70">
        <f t="shared" si="2"/>
        <v>11.352772466539196</v>
      </c>
      <c r="L74" s="146">
        <f t="shared" si="3"/>
        <v>5.8078393881453154</v>
      </c>
      <c r="M74" s="146">
        <f t="shared" si="4"/>
        <v>0.31070745697896751</v>
      </c>
      <c r="N74" s="146">
        <v>8.0783000000000005</v>
      </c>
      <c r="O74" s="147"/>
      <c r="P74" s="147"/>
      <c r="Q74" s="147"/>
      <c r="R74" s="147"/>
      <c r="S74" s="147"/>
      <c r="T74" s="147"/>
      <c r="U74" s="147"/>
      <c r="V74" s="147">
        <v>64.803399999999996</v>
      </c>
      <c r="X74" s="12" t="s">
        <v>823</v>
      </c>
      <c r="Y74" s="34" t="s">
        <v>826</v>
      </c>
    </row>
    <row r="75" spans="1:25" s="12" customFormat="1" ht="18" customHeight="1" outlineLevel="1" x14ac:dyDescent="0.25">
      <c r="A75" s="123">
        <v>51</v>
      </c>
      <c r="B75" s="32">
        <v>36</v>
      </c>
      <c r="C75" s="107" t="s">
        <v>207</v>
      </c>
      <c r="D75" s="152" t="s">
        <v>622</v>
      </c>
      <c r="E75" s="31" t="s">
        <v>621</v>
      </c>
      <c r="F75" s="31" t="s">
        <v>683</v>
      </c>
      <c r="G75" s="152" t="s">
        <v>688</v>
      </c>
      <c r="H75" s="70">
        <v>101.48</v>
      </c>
      <c r="I75" s="70">
        <v>78.25</v>
      </c>
      <c r="J75" s="70">
        <v>0.98</v>
      </c>
      <c r="K75" s="70">
        <f t="shared" si="2"/>
        <v>24.254302103250478</v>
      </c>
      <c r="L75" s="146">
        <f t="shared" si="3"/>
        <v>18.702198852772465</v>
      </c>
      <c r="M75" s="146">
        <f t="shared" si="4"/>
        <v>0.23422562141491393</v>
      </c>
      <c r="N75" s="146">
        <v>21.447399999999998</v>
      </c>
      <c r="O75" s="150"/>
      <c r="P75" s="150"/>
      <c r="Q75" s="150"/>
      <c r="R75" s="150"/>
      <c r="S75" s="150"/>
      <c r="T75" s="150"/>
      <c r="U75" s="150"/>
      <c r="V75" s="147">
        <v>60.005000000000003</v>
      </c>
      <c r="X75" s="12" t="s">
        <v>823</v>
      </c>
      <c r="Y75" s="12" t="s">
        <v>826</v>
      </c>
    </row>
    <row r="76" spans="1:25" s="12" customFormat="1" ht="18" customHeight="1" outlineLevel="1" x14ac:dyDescent="0.25">
      <c r="A76" s="123">
        <v>52</v>
      </c>
      <c r="B76" s="32">
        <v>37</v>
      </c>
      <c r="C76" s="107" t="s">
        <v>101</v>
      </c>
      <c r="D76" s="152" t="s">
        <v>619</v>
      </c>
      <c r="E76" s="31" t="s">
        <v>615</v>
      </c>
      <c r="F76" s="31" t="s">
        <v>684</v>
      </c>
      <c r="G76" s="146" t="s">
        <v>102</v>
      </c>
      <c r="H76" s="70">
        <v>-98.63</v>
      </c>
      <c r="I76" s="70">
        <v>-125.94</v>
      </c>
      <c r="J76" s="70">
        <v>0.27</v>
      </c>
      <c r="K76" s="70">
        <f t="shared" si="2"/>
        <v>-23.573135755258125</v>
      </c>
      <c r="L76" s="146">
        <f t="shared" si="3"/>
        <v>-30.100382409177818</v>
      </c>
      <c r="M76" s="146">
        <f t="shared" si="4"/>
        <v>6.4531548757170168E-2</v>
      </c>
      <c r="N76" s="146">
        <v>-27.905000000000001</v>
      </c>
      <c r="O76" s="150"/>
      <c r="P76" s="150"/>
      <c r="Q76" s="150"/>
      <c r="R76" s="150"/>
      <c r="S76" s="150"/>
      <c r="T76" s="150"/>
      <c r="U76" s="150"/>
      <c r="V76" s="147">
        <v>33.979399999999998</v>
      </c>
      <c r="X76" s="12" t="s">
        <v>822</v>
      </c>
      <c r="Y76" s="12" t="s">
        <v>826</v>
      </c>
    </row>
    <row r="77" spans="1:25" s="34" customFormat="1" ht="18" customHeight="1" outlineLevel="1" x14ac:dyDescent="0.25">
      <c r="A77" s="123">
        <v>53</v>
      </c>
      <c r="B77" s="32">
        <v>38</v>
      </c>
      <c r="C77" s="107" t="s">
        <v>783</v>
      </c>
      <c r="D77" s="152" t="s">
        <v>618</v>
      </c>
      <c r="E77" s="31" t="s">
        <v>620</v>
      </c>
      <c r="F77" s="31" t="s">
        <v>684</v>
      </c>
      <c r="G77" s="146" t="s">
        <v>208</v>
      </c>
      <c r="H77" s="70">
        <v>-106.17</v>
      </c>
      <c r="I77" s="70">
        <v>-134.78</v>
      </c>
      <c r="J77" s="70">
        <v>0.33</v>
      </c>
      <c r="K77" s="70">
        <f t="shared" si="2"/>
        <v>-25.375239005736137</v>
      </c>
      <c r="L77" s="146">
        <f t="shared" si="3"/>
        <v>-32.213193116634798</v>
      </c>
      <c r="M77" s="146">
        <f t="shared" si="4"/>
        <v>7.8871892925430218E-2</v>
      </c>
      <c r="N77" s="146">
        <v>-30.167400000000001</v>
      </c>
      <c r="O77" s="147"/>
      <c r="P77" s="147"/>
      <c r="Q77" s="147"/>
      <c r="R77" s="147"/>
      <c r="S77" s="147"/>
      <c r="T77" s="147"/>
      <c r="U77" s="147"/>
      <c r="V77" s="147">
        <v>35.295699999999997</v>
      </c>
      <c r="X77" s="12" t="s">
        <v>823</v>
      </c>
      <c r="Y77" s="34" t="s">
        <v>826</v>
      </c>
    </row>
    <row r="78" spans="1:25" s="34" customFormat="1" ht="18" customHeight="1" outlineLevel="1" x14ac:dyDescent="0.25">
      <c r="A78" s="123">
        <v>54</v>
      </c>
      <c r="B78" s="32">
        <v>39</v>
      </c>
      <c r="C78" s="96" t="s">
        <v>219</v>
      </c>
      <c r="D78" s="152"/>
      <c r="E78" s="31"/>
      <c r="F78" s="30" t="s">
        <v>691</v>
      </c>
      <c r="G78" s="152" t="s">
        <v>692</v>
      </c>
      <c r="H78" s="70">
        <v>149.88</v>
      </c>
      <c r="I78" s="70">
        <v>132.76</v>
      </c>
      <c r="J78" s="70">
        <v>0.76</v>
      </c>
      <c r="K78" s="70">
        <f t="shared" si="2"/>
        <v>35.822179732313572</v>
      </c>
      <c r="L78" s="146">
        <f t="shared" si="3"/>
        <v>31.730401529636708</v>
      </c>
      <c r="M78" s="146">
        <f t="shared" si="4"/>
        <v>0.18164435946462715</v>
      </c>
      <c r="N78" s="146">
        <v>35.019799999999996</v>
      </c>
      <c r="O78" s="147"/>
      <c r="P78" s="147"/>
      <c r="Q78" s="147"/>
      <c r="R78" s="147"/>
      <c r="S78" s="147"/>
      <c r="T78" s="147"/>
      <c r="U78" s="147"/>
      <c r="V78" s="147">
        <v>83.339200000000005</v>
      </c>
      <c r="X78" s="34" t="s">
        <v>823</v>
      </c>
      <c r="Y78" s="34" t="s">
        <v>826</v>
      </c>
    </row>
    <row r="79" spans="1:25" s="34" customFormat="1" ht="18" customHeight="1" outlineLevel="1" x14ac:dyDescent="0.25">
      <c r="A79" s="123">
        <v>55</v>
      </c>
      <c r="B79" s="32">
        <v>40</v>
      </c>
      <c r="C79" s="96" t="s">
        <v>791</v>
      </c>
      <c r="D79" s="96" t="s">
        <v>661</v>
      </c>
      <c r="E79" s="35" t="s">
        <v>663</v>
      </c>
      <c r="F79" s="30" t="s">
        <v>685</v>
      </c>
      <c r="G79" s="152" t="s">
        <v>662</v>
      </c>
      <c r="H79" s="70">
        <v>58.12</v>
      </c>
      <c r="I79" s="70">
        <v>33.85</v>
      </c>
      <c r="J79" s="70">
        <v>0.45</v>
      </c>
      <c r="K79" s="70">
        <f t="shared" si="2"/>
        <v>13.891013384321223</v>
      </c>
      <c r="L79" s="146">
        <f t="shared" si="3"/>
        <v>8.0903441682600388</v>
      </c>
      <c r="M79" s="146">
        <f t="shared" si="4"/>
        <v>0.10755258126195029</v>
      </c>
      <c r="N79" s="146">
        <v>11.216699999999999</v>
      </c>
      <c r="O79" s="147"/>
      <c r="P79" s="147"/>
      <c r="Q79" s="147"/>
      <c r="R79" s="147"/>
      <c r="S79" s="147"/>
      <c r="T79" s="147"/>
      <c r="U79" s="147"/>
      <c r="V79" s="147">
        <v>60.728400000000001</v>
      </c>
      <c r="X79" s="34" t="s">
        <v>823</v>
      </c>
      <c r="Y79" s="34" t="s">
        <v>834</v>
      </c>
    </row>
    <row r="80" spans="1:25" s="34" customFormat="1" ht="18" customHeight="1" outlineLevel="1" x14ac:dyDescent="0.25">
      <c r="A80" s="123">
        <v>56</v>
      </c>
      <c r="B80" s="32">
        <v>41</v>
      </c>
      <c r="C80" s="96" t="s">
        <v>790</v>
      </c>
      <c r="D80" s="96" t="s">
        <v>659</v>
      </c>
      <c r="E80" s="35" t="s">
        <v>664</v>
      </c>
      <c r="F80" s="30" t="s">
        <v>689</v>
      </c>
      <c r="G80" s="152" t="s">
        <v>660</v>
      </c>
      <c r="H80" s="70">
        <v>-45.01</v>
      </c>
      <c r="I80" s="70">
        <v>-77.58</v>
      </c>
      <c r="J80" s="70">
        <v>0.44</v>
      </c>
      <c r="K80" s="70">
        <f t="shared" si="2"/>
        <v>-10.757648183556405</v>
      </c>
      <c r="L80" s="146">
        <f t="shared" si="3"/>
        <v>-18.542065009560229</v>
      </c>
      <c r="M80" s="146">
        <f t="shared" si="4"/>
        <v>0.10516252390057361</v>
      </c>
      <c r="N80" s="146">
        <v>-15.4404</v>
      </c>
      <c r="O80" s="147"/>
      <c r="P80" s="147"/>
      <c r="Q80" s="147"/>
      <c r="R80" s="147"/>
      <c r="S80" s="147"/>
      <c r="T80" s="147"/>
      <c r="U80" s="147"/>
      <c r="V80" s="147">
        <v>40.4895</v>
      </c>
      <c r="X80" s="34" t="s">
        <v>823</v>
      </c>
    </row>
    <row r="81" spans="1:25" s="34" customFormat="1" ht="18" customHeight="1" outlineLevel="1" x14ac:dyDescent="0.25">
      <c r="A81" s="123">
        <v>57</v>
      </c>
      <c r="B81" s="32">
        <v>42</v>
      </c>
      <c r="C81" s="96" t="s">
        <v>647</v>
      </c>
      <c r="D81" s="152" t="s">
        <v>653</v>
      </c>
      <c r="E81" s="35" t="s">
        <v>654</v>
      </c>
      <c r="F81" s="30" t="s">
        <v>690</v>
      </c>
      <c r="G81" s="152" t="s">
        <v>648</v>
      </c>
      <c r="H81" s="70">
        <v>-114.47</v>
      </c>
      <c r="I81" s="70">
        <v>-146.34</v>
      </c>
      <c r="J81" s="70">
        <v>0.31</v>
      </c>
      <c r="K81" s="70">
        <f t="shared" si="2"/>
        <v>-27.358986615678774</v>
      </c>
      <c r="L81" s="146">
        <f t="shared" si="3"/>
        <v>-34.976099426386234</v>
      </c>
      <c r="M81" s="146">
        <f t="shared" si="4"/>
        <v>7.4091778202676858E-2</v>
      </c>
      <c r="N81" s="146">
        <v>-32.136600000000001</v>
      </c>
      <c r="O81" s="147"/>
      <c r="P81" s="147"/>
      <c r="Q81" s="147"/>
      <c r="R81" s="147"/>
      <c r="S81" s="147"/>
      <c r="T81" s="147"/>
      <c r="U81" s="147"/>
      <c r="V81" s="147">
        <v>41.536200000000001</v>
      </c>
      <c r="X81" s="34" t="s">
        <v>823</v>
      </c>
      <c r="Y81" s="34" t="s">
        <v>826</v>
      </c>
    </row>
    <row r="82" spans="1:25" s="12" customFormat="1" ht="18" customHeight="1" outlineLevel="1" x14ac:dyDescent="0.25">
      <c r="A82" s="123">
        <v>58</v>
      </c>
      <c r="B82" s="32">
        <v>43</v>
      </c>
      <c r="C82" s="96" t="s">
        <v>649</v>
      </c>
      <c r="D82" s="96" t="s">
        <v>655</v>
      </c>
      <c r="E82" s="31" t="s">
        <v>656</v>
      </c>
      <c r="F82" s="30" t="s">
        <v>690</v>
      </c>
      <c r="G82" s="152" t="s">
        <v>650</v>
      </c>
      <c r="H82" s="70">
        <v>-119.22</v>
      </c>
      <c r="I82" s="70">
        <v>-153.27000000000001</v>
      </c>
      <c r="J82" s="70">
        <v>0.44</v>
      </c>
      <c r="K82" s="70">
        <f t="shared" si="2"/>
        <v>-28.494263862332694</v>
      </c>
      <c r="L82" s="146">
        <f t="shared" si="3"/>
        <v>-36.632409177820271</v>
      </c>
      <c r="M82" s="146">
        <f t="shared" si="4"/>
        <v>0.10516252390057361</v>
      </c>
      <c r="N82" s="146">
        <v>-34.075000000000003</v>
      </c>
      <c r="O82" s="150"/>
      <c r="P82" s="150"/>
      <c r="Q82" s="150"/>
      <c r="R82" s="150"/>
      <c r="S82" s="150"/>
      <c r="T82" s="150"/>
      <c r="U82" s="150"/>
      <c r="V82" s="147">
        <v>39.867600000000003</v>
      </c>
      <c r="X82" s="34" t="s">
        <v>823</v>
      </c>
      <c r="Y82" s="12" t="s">
        <v>826</v>
      </c>
    </row>
    <row r="83" spans="1:25" s="191" customFormat="1" ht="18" customHeight="1" outlineLevel="1" x14ac:dyDescent="0.25">
      <c r="A83" s="188">
        <v>59</v>
      </c>
      <c r="B83" s="189">
        <v>44</v>
      </c>
      <c r="C83" s="173" t="s">
        <v>651</v>
      </c>
      <c r="D83" s="174" t="s">
        <v>657</v>
      </c>
      <c r="E83" s="174" t="s">
        <v>658</v>
      </c>
      <c r="F83" s="173" t="s">
        <v>871</v>
      </c>
      <c r="G83" s="174" t="s">
        <v>652</v>
      </c>
      <c r="H83" s="190">
        <v>-134.63999999999999</v>
      </c>
      <c r="I83" s="190">
        <v>-167.52</v>
      </c>
      <c r="J83" s="190">
        <v>0.41</v>
      </c>
      <c r="K83" s="190">
        <f>H83/4.184</f>
        <v>-32.179732313575521</v>
      </c>
      <c r="L83" s="175">
        <f t="shared" si="3"/>
        <v>-40.038240917782026</v>
      </c>
      <c r="M83" s="175">
        <f t="shared" si="4"/>
        <v>9.7992351816443585E-2</v>
      </c>
      <c r="N83" s="175">
        <v>-44.894300000000001</v>
      </c>
      <c r="O83" s="176"/>
      <c r="P83" s="176"/>
      <c r="Q83" s="176"/>
      <c r="R83" s="176"/>
      <c r="S83" s="176"/>
      <c r="T83" s="176"/>
      <c r="U83" s="176"/>
      <c r="V83" s="176" t="s">
        <v>800</v>
      </c>
      <c r="X83" s="191" t="s">
        <v>823</v>
      </c>
      <c r="Y83" s="191" t="s">
        <v>835</v>
      </c>
    </row>
    <row r="84" spans="1:25" s="105" customFormat="1" ht="18" customHeight="1" outlineLevel="1" x14ac:dyDescent="0.25">
      <c r="A84" s="183">
        <v>60</v>
      </c>
      <c r="B84" s="184">
        <v>45</v>
      </c>
      <c r="C84" s="102" t="s">
        <v>697</v>
      </c>
      <c r="D84" s="152"/>
      <c r="E84" s="152"/>
      <c r="F84" s="96" t="s">
        <v>695</v>
      </c>
      <c r="G84" s="152" t="s">
        <v>696</v>
      </c>
      <c r="H84" s="185">
        <v>350.37</v>
      </c>
      <c r="I84" s="185">
        <v>337.08</v>
      </c>
      <c r="J84" s="185">
        <v>0.56999999999999995</v>
      </c>
      <c r="K84" s="185">
        <f t="shared" si="2"/>
        <v>83.740439770554488</v>
      </c>
      <c r="L84" s="146">
        <f t="shared" si="3"/>
        <v>80.564053537284892</v>
      </c>
      <c r="M84" s="146">
        <f t="shared" si="4"/>
        <v>0.13623326959847035</v>
      </c>
      <c r="N84" s="146">
        <v>85.3279</v>
      </c>
      <c r="O84" s="150"/>
      <c r="P84" s="150"/>
      <c r="Q84" s="150"/>
      <c r="R84" s="150"/>
      <c r="S84" s="150"/>
      <c r="T84" s="150"/>
      <c r="U84" s="150"/>
      <c r="V84" s="147">
        <v>116.2205</v>
      </c>
      <c r="X84" s="105" t="s">
        <v>823</v>
      </c>
      <c r="Y84" s="105" t="s">
        <v>826</v>
      </c>
    </row>
    <row r="85" spans="1:25" s="105" customFormat="1" ht="18" customHeight="1" outlineLevel="1" x14ac:dyDescent="0.25">
      <c r="A85" s="183">
        <v>61</v>
      </c>
      <c r="B85" s="184">
        <v>46</v>
      </c>
      <c r="C85" s="102" t="s">
        <v>694</v>
      </c>
      <c r="D85" s="152"/>
      <c r="E85" s="152"/>
      <c r="F85" s="96" t="s">
        <v>693</v>
      </c>
      <c r="G85" s="152" t="s">
        <v>612</v>
      </c>
      <c r="H85" s="185">
        <v>100.62</v>
      </c>
      <c r="I85" s="185">
        <v>83.11</v>
      </c>
      <c r="J85" s="185">
        <v>0.25</v>
      </c>
      <c r="K85" s="185">
        <f t="shared" si="2"/>
        <v>24.048757170172085</v>
      </c>
      <c r="L85" s="146">
        <f t="shared" si="3"/>
        <v>19.86376673040153</v>
      </c>
      <c r="M85" s="146">
        <f t="shared" si="4"/>
        <v>5.9751434034416823E-2</v>
      </c>
      <c r="N85" s="146">
        <v>22.1036</v>
      </c>
      <c r="O85" s="150"/>
      <c r="P85" s="150"/>
      <c r="Q85" s="150"/>
      <c r="R85" s="150"/>
      <c r="S85" s="150"/>
      <c r="T85" s="150"/>
      <c r="U85" s="150"/>
      <c r="V85" s="147">
        <v>71.667599999999993</v>
      </c>
      <c r="Y85" s="105" t="s">
        <v>826</v>
      </c>
    </row>
    <row r="86" spans="1:25" s="105" customFormat="1" ht="18" customHeight="1" outlineLevel="1" x14ac:dyDescent="0.25">
      <c r="A86" s="183">
        <v>62</v>
      </c>
      <c r="B86" s="184">
        <v>47</v>
      </c>
      <c r="C86" s="102" t="s">
        <v>699</v>
      </c>
      <c r="F86" s="96" t="s">
        <v>698</v>
      </c>
      <c r="G86" s="152" t="s">
        <v>700</v>
      </c>
      <c r="H86" s="185">
        <v>108.39</v>
      </c>
      <c r="I86" s="185">
        <v>83.79</v>
      </c>
      <c r="J86" s="185">
        <v>0.4</v>
      </c>
      <c r="K86" s="185">
        <f t="shared" si="2"/>
        <v>25.905831739961759</v>
      </c>
      <c r="L86" s="146">
        <f t="shared" si="3"/>
        <v>20.026290630975144</v>
      </c>
      <c r="M86" s="146">
        <f t="shared" si="4"/>
        <v>9.5602294455066919E-2</v>
      </c>
      <c r="N86" s="146">
        <v>23.957899999999999</v>
      </c>
      <c r="O86" s="150"/>
      <c r="P86" s="150"/>
      <c r="Q86" s="150"/>
      <c r="R86" s="150"/>
      <c r="S86" s="150"/>
      <c r="T86" s="150"/>
      <c r="U86" s="150"/>
      <c r="V86" s="147">
        <v>88.3322</v>
      </c>
      <c r="Y86" s="105" t="s">
        <v>836</v>
      </c>
    </row>
    <row r="87" spans="1:25" s="105" customFormat="1" ht="18" customHeight="1" outlineLevel="1" x14ac:dyDescent="0.25">
      <c r="A87" s="183">
        <v>63</v>
      </c>
      <c r="B87" s="184">
        <v>48</v>
      </c>
      <c r="C87" s="102" t="s">
        <v>222</v>
      </c>
      <c r="D87" s="103"/>
      <c r="E87" s="103"/>
      <c r="F87" s="103" t="s">
        <v>701</v>
      </c>
      <c r="G87" s="152" t="s">
        <v>223</v>
      </c>
      <c r="H87" s="185">
        <v>-83.59</v>
      </c>
      <c r="I87" s="185">
        <v>-123.15</v>
      </c>
      <c r="J87" s="185">
        <v>0.36</v>
      </c>
      <c r="K87" s="185">
        <f t="shared" si="2"/>
        <v>-19.978489483747609</v>
      </c>
      <c r="L87" s="146">
        <f t="shared" si="3"/>
        <v>-29.43355640535373</v>
      </c>
      <c r="M87" s="146">
        <f t="shared" si="4"/>
        <v>8.6042065009560229E-2</v>
      </c>
      <c r="N87" s="146">
        <v>-26.2776</v>
      </c>
      <c r="O87" s="150"/>
      <c r="P87" s="150"/>
      <c r="Q87" s="150"/>
      <c r="R87" s="150"/>
      <c r="S87" s="150"/>
      <c r="T87" s="150"/>
      <c r="U87" s="150"/>
      <c r="V87" s="147">
        <v>44.8872</v>
      </c>
      <c r="X87" s="105" t="s">
        <v>822</v>
      </c>
      <c r="Y87" s="105" t="s">
        <v>826</v>
      </c>
    </row>
    <row r="88" spans="1:25" s="105" customFormat="1" ht="18" customHeight="1" outlineLevel="1" x14ac:dyDescent="0.25">
      <c r="A88" s="183">
        <v>64</v>
      </c>
      <c r="B88" s="184">
        <v>49</v>
      </c>
      <c r="C88" s="102" t="s">
        <v>787</v>
      </c>
      <c r="D88" s="103"/>
      <c r="E88" s="103"/>
      <c r="F88" s="103" t="s">
        <v>702</v>
      </c>
      <c r="G88" s="152" t="s">
        <v>221</v>
      </c>
      <c r="H88" s="185">
        <v>-130.06</v>
      </c>
      <c r="I88" s="185">
        <v>-166.93</v>
      </c>
      <c r="J88" s="185">
        <v>0.34</v>
      </c>
      <c r="K88" s="185">
        <f t="shared" si="2"/>
        <v>-31.085086042065008</v>
      </c>
      <c r="L88" s="146">
        <f t="shared" si="3"/>
        <v>-39.8972275334608</v>
      </c>
      <c r="M88" s="146">
        <f t="shared" si="4"/>
        <v>8.1261950286806883E-2</v>
      </c>
      <c r="N88" s="146">
        <v>-36.382300000000001</v>
      </c>
      <c r="O88" s="150"/>
      <c r="P88" s="150"/>
      <c r="Q88" s="150"/>
      <c r="R88" s="150"/>
      <c r="S88" s="150"/>
      <c r="T88" s="150"/>
      <c r="U88" s="150"/>
      <c r="V88" s="147">
        <v>49.090400000000002</v>
      </c>
      <c r="X88" s="105" t="s">
        <v>823</v>
      </c>
      <c r="Y88" s="105" t="s">
        <v>826</v>
      </c>
    </row>
    <row r="89" spans="1:25" s="182" customFormat="1" ht="18" customHeight="1" outlineLevel="1" x14ac:dyDescent="0.25">
      <c r="A89" s="178">
        <v>65</v>
      </c>
      <c r="B89" s="179">
        <v>114</v>
      </c>
      <c r="C89" s="100" t="s">
        <v>816</v>
      </c>
      <c r="D89" s="100"/>
      <c r="E89" s="100"/>
      <c r="F89" s="100" t="s">
        <v>817</v>
      </c>
      <c r="G89" s="180" t="s">
        <v>818</v>
      </c>
      <c r="H89" s="181">
        <v>-145.65</v>
      </c>
      <c r="I89" s="181">
        <v>-187.53</v>
      </c>
      <c r="J89" s="181">
        <v>0.48</v>
      </c>
      <c r="K89" s="181">
        <f t="shared" ref="K89" si="5">H89/4.184</f>
        <v>-34.811185468451242</v>
      </c>
      <c r="L89" s="170">
        <f t="shared" ref="L89" si="6">I89/4.184</f>
        <v>-44.820745697896747</v>
      </c>
      <c r="M89" s="170">
        <f t="shared" ref="M89" si="7">J89/4.184</f>
        <v>0.1147227533460803</v>
      </c>
      <c r="N89" s="151"/>
      <c r="O89" s="151"/>
      <c r="P89" s="151"/>
      <c r="Q89" s="151"/>
      <c r="R89" s="151"/>
      <c r="S89" s="151"/>
      <c r="T89" s="151"/>
      <c r="U89" s="151"/>
      <c r="V89" s="151"/>
      <c r="Y89" s="182" t="s">
        <v>837</v>
      </c>
    </row>
    <row r="90" spans="1:25" s="105" customFormat="1" ht="18" customHeight="1" outlineLevel="1" x14ac:dyDescent="0.25">
      <c r="A90" s="183">
        <v>66</v>
      </c>
      <c r="B90" s="184">
        <v>50</v>
      </c>
      <c r="C90" s="96" t="s">
        <v>614</v>
      </c>
      <c r="D90" s="103"/>
      <c r="E90" s="103"/>
      <c r="F90" s="103" t="s">
        <v>704</v>
      </c>
      <c r="G90" s="152" t="s">
        <v>613</v>
      </c>
      <c r="H90" s="185">
        <v>73.56</v>
      </c>
      <c r="I90" s="185">
        <v>50.27</v>
      </c>
      <c r="J90" s="185">
        <v>0.36</v>
      </c>
      <c r="K90" s="185">
        <f t="shared" si="2"/>
        <v>17.581261950286805</v>
      </c>
      <c r="L90" s="146">
        <f t="shared" si="3"/>
        <v>12.014818355640536</v>
      </c>
      <c r="M90" s="146">
        <f t="shared" si="4"/>
        <v>8.6042065009560229E-2</v>
      </c>
      <c r="N90" s="146">
        <v>14.4</v>
      </c>
      <c r="O90" s="150"/>
      <c r="P90" s="150"/>
      <c r="Q90" s="150"/>
      <c r="R90" s="150"/>
      <c r="S90" s="150"/>
      <c r="T90" s="150"/>
      <c r="U90" s="150"/>
      <c r="V90" s="147">
        <v>77.56</v>
      </c>
      <c r="X90" s="105" t="s">
        <v>823</v>
      </c>
      <c r="Y90" s="105" t="s">
        <v>838</v>
      </c>
    </row>
    <row r="91" spans="1:25" s="105" customFormat="1" ht="18" customHeight="1" outlineLevel="1" x14ac:dyDescent="0.25">
      <c r="A91" s="183">
        <v>67</v>
      </c>
      <c r="B91" s="184">
        <v>51</v>
      </c>
      <c r="C91" s="108" t="s">
        <v>406</v>
      </c>
      <c r="D91" s="103"/>
      <c r="E91" s="103"/>
      <c r="F91" s="103" t="s">
        <v>704</v>
      </c>
      <c r="G91" s="152" t="s">
        <v>407</v>
      </c>
      <c r="H91" s="185">
        <v>237.9</v>
      </c>
      <c r="I91" s="185">
        <v>212.5</v>
      </c>
      <c r="J91" s="186">
        <v>1.2</v>
      </c>
      <c r="K91" s="185">
        <f t="shared" si="2"/>
        <v>56.859464627151048</v>
      </c>
      <c r="L91" s="146">
        <f t="shared" si="3"/>
        <v>50.788718929254301</v>
      </c>
      <c r="M91" s="146">
        <f t="shared" si="4"/>
        <v>0.28680688336520072</v>
      </c>
      <c r="N91" s="146">
        <v>60.35</v>
      </c>
      <c r="O91" s="150"/>
      <c r="P91" s="150"/>
      <c r="Q91" s="150"/>
      <c r="R91" s="150"/>
      <c r="S91" s="150"/>
      <c r="T91" s="150"/>
      <c r="U91" s="150"/>
      <c r="V91" s="147">
        <v>131.73009999999999</v>
      </c>
      <c r="X91" s="105" t="s">
        <v>823</v>
      </c>
      <c r="Y91" s="105" t="s">
        <v>826</v>
      </c>
    </row>
    <row r="92" spans="1:25" s="105" customFormat="1" ht="18" customHeight="1" outlineLevel="1" x14ac:dyDescent="0.25">
      <c r="A92" s="183">
        <v>68</v>
      </c>
      <c r="B92" s="184">
        <v>52</v>
      </c>
      <c r="C92" s="96" t="s">
        <v>796</v>
      </c>
      <c r="D92" s="103"/>
      <c r="E92" s="103"/>
      <c r="F92" s="103" t="s">
        <v>703</v>
      </c>
      <c r="G92" s="152" t="s">
        <v>224</v>
      </c>
      <c r="H92" s="185">
        <v>-161.43</v>
      </c>
      <c r="I92" s="185">
        <v>-208.27</v>
      </c>
      <c r="J92" s="185">
        <v>0.67</v>
      </c>
      <c r="K92" s="185">
        <f t="shared" si="2"/>
        <v>-38.582695984703633</v>
      </c>
      <c r="L92" s="146">
        <f t="shared" si="3"/>
        <v>-49.777724665391972</v>
      </c>
      <c r="M92" s="146">
        <f t="shared" si="4"/>
        <v>0.16013384321223709</v>
      </c>
      <c r="N92" s="146">
        <v>-45.5</v>
      </c>
      <c r="O92" s="150"/>
      <c r="P92" s="150"/>
      <c r="Q92" s="150"/>
      <c r="R92" s="150"/>
      <c r="S92" s="150"/>
      <c r="T92" s="150"/>
      <c r="U92" s="150"/>
      <c r="V92" s="172">
        <v>60.591200000000001</v>
      </c>
      <c r="X92" s="105" t="s">
        <v>823</v>
      </c>
      <c r="Y92" s="105" t="s">
        <v>839</v>
      </c>
    </row>
    <row r="93" spans="1:25" s="177" customFormat="1" ht="18" customHeight="1" outlineLevel="1" x14ac:dyDescent="0.25">
      <c r="A93" s="178">
        <v>69</v>
      </c>
      <c r="B93" s="179">
        <v>53</v>
      </c>
      <c r="C93" s="169" t="s">
        <v>705</v>
      </c>
      <c r="F93" s="177" t="s">
        <v>703</v>
      </c>
      <c r="G93" s="180" t="s">
        <v>706</v>
      </c>
      <c r="H93" s="181">
        <v>-171.3</v>
      </c>
      <c r="I93" s="181">
        <v>-223.7</v>
      </c>
      <c r="J93" s="187">
        <v>1.5</v>
      </c>
      <c r="K93" s="181">
        <f t="shared" si="2"/>
        <v>-40.941682600382407</v>
      </c>
      <c r="L93" s="170">
        <f t="shared" si="3"/>
        <v>-53.465583173996173</v>
      </c>
      <c r="M93" s="170">
        <f t="shared" si="4"/>
        <v>0.35850860420650094</v>
      </c>
      <c r="N93" s="170">
        <v>-49.63</v>
      </c>
      <c r="O93" s="171"/>
      <c r="P93" s="171"/>
      <c r="Q93" s="171"/>
      <c r="R93" s="171"/>
      <c r="S93" s="171"/>
      <c r="T93" s="171"/>
      <c r="U93" s="171"/>
      <c r="V93" s="210">
        <v>73.19</v>
      </c>
      <c r="X93" s="177" t="s">
        <v>823</v>
      </c>
      <c r="Y93" s="177" t="s">
        <v>839</v>
      </c>
    </row>
    <row r="94" spans="1:25" s="12" customFormat="1" outlineLevel="1" x14ac:dyDescent="0.25">
      <c r="B94" s="17"/>
      <c r="C94" s="96"/>
      <c r="D94" s="105"/>
      <c r="F94" s="13"/>
      <c r="G94" s="152"/>
      <c r="H94" s="31"/>
      <c r="I94" s="31"/>
      <c r="J94" s="31"/>
      <c r="K94" s="31"/>
      <c r="L94" s="152"/>
      <c r="M94" s="152"/>
      <c r="N94" s="152"/>
      <c r="O94" s="144"/>
      <c r="P94" s="144"/>
      <c r="Q94" s="144"/>
      <c r="R94" s="144"/>
      <c r="S94" s="144"/>
      <c r="T94" s="144"/>
      <c r="U94" s="144"/>
      <c r="V94" s="105"/>
    </row>
    <row r="95" spans="1:25" s="12" customFormat="1" outlineLevel="1" x14ac:dyDescent="0.25">
      <c r="B95" s="17"/>
      <c r="C95" s="96"/>
      <c r="D95" s="105"/>
      <c r="F95" s="13"/>
      <c r="G95" s="152"/>
      <c r="H95" s="31"/>
      <c r="I95" s="31"/>
      <c r="J95" s="31"/>
      <c r="K95" s="31"/>
      <c r="L95" s="152"/>
      <c r="M95" s="152"/>
      <c r="N95" s="152"/>
      <c r="O95" s="144"/>
      <c r="P95" s="144"/>
      <c r="Q95" s="144"/>
      <c r="R95" s="144"/>
      <c r="S95" s="144"/>
      <c r="T95" s="144"/>
      <c r="U95" s="144"/>
      <c r="V95" s="105"/>
    </row>
    <row r="96" spans="1:25" s="12" customFormat="1" outlineLevel="1" x14ac:dyDescent="0.25">
      <c r="B96" s="17"/>
      <c r="C96" s="96"/>
      <c r="D96" s="105"/>
      <c r="F96" s="13"/>
      <c r="G96" s="152"/>
      <c r="H96" s="31"/>
      <c r="I96" s="31"/>
      <c r="J96" s="31"/>
      <c r="K96" s="31"/>
      <c r="L96" s="152"/>
      <c r="M96" s="152"/>
      <c r="N96" s="152"/>
      <c r="O96" s="144"/>
      <c r="P96" s="144"/>
      <c r="Q96" s="144"/>
      <c r="R96" s="144"/>
      <c r="S96" s="144"/>
      <c r="T96" s="144"/>
      <c r="U96" s="144"/>
      <c r="V96" s="105"/>
    </row>
    <row r="97" spans="2:24" s="12" customFormat="1" outlineLevel="1" x14ac:dyDescent="0.25">
      <c r="B97" s="17"/>
      <c r="C97" s="96"/>
      <c r="D97" s="105"/>
      <c r="F97" s="13"/>
      <c r="G97" s="152"/>
      <c r="H97" s="31"/>
      <c r="I97" s="31"/>
      <c r="J97" s="31"/>
      <c r="K97" s="31"/>
      <c r="L97" s="152"/>
      <c r="M97" s="152"/>
      <c r="N97" s="152"/>
      <c r="O97" s="144"/>
      <c r="P97" s="144"/>
      <c r="Q97" s="144"/>
      <c r="R97" s="144"/>
      <c r="S97" s="144"/>
      <c r="T97" s="144"/>
      <c r="U97" s="144"/>
      <c r="V97" s="105"/>
    </row>
    <row r="98" spans="2:24" s="12" customFormat="1" outlineLevel="1" x14ac:dyDescent="0.25">
      <c r="B98" s="16"/>
      <c r="C98" s="98"/>
      <c r="D98" s="98"/>
      <c r="E98" s="13"/>
      <c r="F98" s="13"/>
      <c r="G98" s="208"/>
      <c r="H98" s="14"/>
      <c r="I98" s="14"/>
      <c r="J98" s="15"/>
      <c r="K98" s="15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05"/>
    </row>
    <row r="99" spans="2:24" s="12" customFormat="1" ht="15.6" x14ac:dyDescent="0.3">
      <c r="B99" s="21" t="s">
        <v>76</v>
      </c>
      <c r="C99" s="99"/>
      <c r="D99" s="99"/>
      <c r="E99" s="21"/>
      <c r="F99" s="21"/>
      <c r="G99" s="99"/>
      <c r="H99" s="79"/>
      <c r="I99" s="79"/>
      <c r="J99" s="79"/>
      <c r="K99" s="79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79"/>
    </row>
    <row r="100" spans="2:24" s="34" customFormat="1" ht="15" x14ac:dyDescent="0.25">
      <c r="B100" s="36"/>
      <c r="C100" s="109"/>
      <c r="D100" s="109"/>
      <c r="E100" s="37"/>
      <c r="F100" s="37"/>
      <c r="G100" s="109"/>
      <c r="H100" s="80"/>
      <c r="I100" s="80"/>
      <c r="J100" s="80"/>
      <c r="K100" s="80"/>
      <c r="L100" s="154"/>
      <c r="M100" s="154"/>
      <c r="N100" s="154"/>
      <c r="O100" s="155"/>
      <c r="P100" s="155"/>
      <c r="Q100" s="155"/>
      <c r="R100" s="155"/>
      <c r="S100" s="155"/>
      <c r="T100" s="155"/>
      <c r="U100" s="155"/>
      <c r="V100" s="104"/>
    </row>
    <row r="101" spans="2:24" s="34" customFormat="1" ht="15.6" x14ac:dyDescent="0.3">
      <c r="B101" s="36"/>
      <c r="C101" s="110"/>
      <c r="D101" s="110"/>
      <c r="F101" s="36"/>
      <c r="G101" s="110"/>
      <c r="H101" s="81"/>
      <c r="I101" s="81"/>
      <c r="J101" s="81"/>
      <c r="K101" s="81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04"/>
    </row>
    <row r="102" spans="2:24" s="12" customFormat="1" ht="15.6" x14ac:dyDescent="0.25">
      <c r="B102" s="20" t="s">
        <v>78</v>
      </c>
      <c r="C102" s="97"/>
      <c r="D102" s="97"/>
      <c r="E102" s="20"/>
      <c r="F102" s="20"/>
      <c r="G102" s="97"/>
      <c r="H102" s="82"/>
      <c r="I102" s="82"/>
      <c r="J102" s="82"/>
      <c r="K102" s="82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82"/>
    </row>
    <row r="103" spans="2:24" s="6" customFormat="1" outlineLevel="1" x14ac:dyDescent="0.25">
      <c r="B103" s="11">
        <v>1</v>
      </c>
      <c r="C103" s="111" t="s">
        <v>711</v>
      </c>
      <c r="D103" s="103"/>
      <c r="F103" s="6" t="s">
        <v>85</v>
      </c>
      <c r="G103" s="104" t="s">
        <v>712</v>
      </c>
      <c r="H103" s="6">
        <v>-113.803</v>
      </c>
      <c r="I103" s="10">
        <v>-110.523</v>
      </c>
      <c r="J103" s="10">
        <v>2.5999999999999999E-2</v>
      </c>
      <c r="K103" s="35">
        <f t="shared" ref="K103" si="8">H103/4.184</f>
        <v>-27.19956978967495</v>
      </c>
      <c r="L103" s="157">
        <f t="shared" ref="L103" si="9">I103/4.184</f>
        <v>-26.415630975143401</v>
      </c>
      <c r="M103" s="157">
        <f t="shared" ref="M103" si="10">J103/4.184</f>
        <v>6.2141491395793494E-3</v>
      </c>
      <c r="N103" s="158">
        <v>-26.735900000000001</v>
      </c>
      <c r="O103" s="158"/>
      <c r="P103" s="158"/>
      <c r="Q103" s="158"/>
      <c r="R103" s="158"/>
      <c r="S103" s="158"/>
      <c r="T103" s="158"/>
      <c r="U103" s="158"/>
      <c r="V103" s="158">
        <v>-3.1537000000000002</v>
      </c>
    </row>
    <row r="104" spans="2:24" s="6" customFormat="1" outlineLevel="1" x14ac:dyDescent="0.25">
      <c r="B104" s="11">
        <v>2</v>
      </c>
      <c r="C104" s="111" t="s">
        <v>713</v>
      </c>
      <c r="D104" s="103"/>
      <c r="F104" s="6" t="s">
        <v>88</v>
      </c>
      <c r="G104" s="104" t="s">
        <v>87</v>
      </c>
      <c r="H104" s="6">
        <v>-393.10899999999998</v>
      </c>
      <c r="I104" s="10">
        <v>-393.47500000000002</v>
      </c>
      <c r="J104" s="10">
        <v>1.4999999999999999E-2</v>
      </c>
      <c r="K104" s="35">
        <f t="shared" ref="K104:K136" si="11">H104/4.184</f>
        <v>-93.955305927342252</v>
      </c>
      <c r="L104" s="157">
        <f t="shared" ref="L104:L136" si="12">I104/4.184</f>
        <v>-94.042782026768649</v>
      </c>
      <c r="M104" s="157">
        <f t="shared" ref="M104:M136" si="13">J104/4.184</f>
        <v>3.5850860420650094E-3</v>
      </c>
      <c r="N104" s="158">
        <v>-95.587699999999998</v>
      </c>
      <c r="O104" s="158"/>
      <c r="P104" s="158"/>
      <c r="Q104" s="158"/>
      <c r="R104" s="158"/>
      <c r="S104" s="158"/>
      <c r="T104" s="158"/>
      <c r="U104" s="158"/>
      <c r="V104" s="158">
        <v>-74.678200000000004</v>
      </c>
    </row>
    <row r="105" spans="2:24" s="6" customFormat="1" outlineLevel="1" x14ac:dyDescent="0.25">
      <c r="B105" s="11">
        <v>3</v>
      </c>
      <c r="C105" s="111" t="s">
        <v>437</v>
      </c>
      <c r="D105" s="103"/>
      <c r="F105" s="6" t="s">
        <v>715</v>
      </c>
      <c r="G105" s="104" t="s">
        <v>245</v>
      </c>
      <c r="H105" s="6">
        <v>41.426000000000002</v>
      </c>
      <c r="I105" s="10">
        <v>41.802999999999997</v>
      </c>
      <c r="J105" s="10">
        <v>9.9000000000000005E-2</v>
      </c>
      <c r="K105" s="35">
        <f t="shared" si="11"/>
        <v>9.9010516252390062</v>
      </c>
      <c r="L105" s="157">
        <f t="shared" si="12"/>
        <v>9.9911567877629057</v>
      </c>
      <c r="M105" s="157">
        <f t="shared" si="13"/>
        <v>2.3661567877629065E-2</v>
      </c>
      <c r="N105" s="158">
        <v>9.8143999999999991</v>
      </c>
      <c r="O105" s="158"/>
      <c r="P105" s="158"/>
      <c r="Q105" s="158"/>
      <c r="R105" s="158"/>
      <c r="S105" s="158"/>
      <c r="T105" s="158"/>
      <c r="U105" s="158"/>
      <c r="V105" s="158">
        <v>4.8163999999999998</v>
      </c>
    </row>
    <row r="106" spans="2:24" s="6" customFormat="1" outlineLevel="1" x14ac:dyDescent="0.25">
      <c r="B106" s="11">
        <v>4</v>
      </c>
      <c r="C106" s="111" t="s">
        <v>141</v>
      </c>
      <c r="D106" s="103"/>
      <c r="F106" s="6" t="s">
        <v>715</v>
      </c>
      <c r="G106" s="104" t="s">
        <v>739</v>
      </c>
      <c r="H106" s="6">
        <v>217.3</v>
      </c>
      <c r="I106" s="10">
        <v>217.69</v>
      </c>
      <c r="J106" s="10">
        <v>0.67</v>
      </c>
      <c r="K106" s="35">
        <f>H106/4.184</f>
        <v>51.935946462715108</v>
      </c>
      <c r="L106" s="157">
        <f t="shared" ref="L106" si="14">I106/4.184</f>
        <v>52.029158699808789</v>
      </c>
      <c r="M106" s="157">
        <f t="shared" ref="M106" si="15">J106/4.184</f>
        <v>0.16013384321223709</v>
      </c>
      <c r="N106" s="158">
        <v>51.967700000000001</v>
      </c>
      <c r="O106" s="158"/>
      <c r="P106" s="158"/>
      <c r="Q106" s="158"/>
      <c r="R106" s="158"/>
      <c r="S106" s="158"/>
      <c r="T106" s="158"/>
      <c r="U106" s="158"/>
      <c r="V106" s="158">
        <v>44.398099999999999</v>
      </c>
    </row>
    <row r="107" spans="2:24" s="6" customFormat="1" outlineLevel="1" x14ac:dyDescent="0.25">
      <c r="B107" s="11">
        <v>5</v>
      </c>
      <c r="C107" s="111" t="s">
        <v>416</v>
      </c>
      <c r="D107" s="103"/>
      <c r="F107" s="6" t="s">
        <v>714</v>
      </c>
      <c r="G107" s="104" t="s">
        <v>417</v>
      </c>
      <c r="H107" s="6">
        <v>-105.349</v>
      </c>
      <c r="I107" s="10">
        <v>-109.188</v>
      </c>
      <c r="J107" s="10">
        <v>9.9000000000000005E-2</v>
      </c>
      <c r="K107" s="35">
        <f t="shared" si="11"/>
        <v>-25.179015296367112</v>
      </c>
      <c r="L107" s="157">
        <f t="shared" si="12"/>
        <v>-26.096558317399616</v>
      </c>
      <c r="M107" s="157">
        <f t="shared" si="13"/>
        <v>2.3661567877629065E-2</v>
      </c>
      <c r="N107" s="158">
        <v>-27.096699999999998</v>
      </c>
      <c r="O107" s="158"/>
      <c r="P107" s="158"/>
      <c r="Q107" s="158"/>
      <c r="R107" s="158"/>
      <c r="S107" s="158"/>
      <c r="T107" s="158"/>
      <c r="U107" s="158"/>
      <c r="V107" s="158">
        <v>-18.203399999999998</v>
      </c>
    </row>
    <row r="108" spans="2:24" s="6" customFormat="1" outlineLevel="1" x14ac:dyDescent="0.25">
      <c r="B108" s="11">
        <v>6</v>
      </c>
      <c r="C108" s="111" t="s">
        <v>740</v>
      </c>
      <c r="D108" s="103"/>
      <c r="F108" s="6" t="s">
        <v>714</v>
      </c>
      <c r="G108" s="104" t="s">
        <v>741</v>
      </c>
      <c r="H108" s="6">
        <v>112.4</v>
      </c>
      <c r="I108" s="10">
        <v>108.64</v>
      </c>
      <c r="J108" s="10">
        <v>0.33</v>
      </c>
      <c r="K108" s="35">
        <f t="shared" ref="K108" si="16">H108/4.184</f>
        <v>26.864244741873804</v>
      </c>
      <c r="L108" s="157">
        <f t="shared" ref="L108" si="17">I108/4.184</f>
        <v>25.965583173996176</v>
      </c>
      <c r="M108" s="157">
        <f t="shared" ref="M108" si="18">J108/4.184</f>
        <v>7.8871892925430218E-2</v>
      </c>
      <c r="N108" s="158">
        <v>25.8538</v>
      </c>
      <c r="O108" s="158"/>
      <c r="P108" s="158"/>
      <c r="Q108" s="158"/>
      <c r="R108" s="158"/>
      <c r="S108" s="158"/>
      <c r="T108" s="158"/>
      <c r="U108" s="158"/>
      <c r="V108" s="158">
        <v>28.377099999999999</v>
      </c>
      <c r="X108" s="72" t="s">
        <v>801</v>
      </c>
    </row>
    <row r="109" spans="2:24" s="6" customFormat="1" outlineLevel="1" x14ac:dyDescent="0.25">
      <c r="B109" s="11">
        <v>7</v>
      </c>
      <c r="C109" s="111" t="s">
        <v>744</v>
      </c>
      <c r="D109" s="103"/>
      <c r="F109" s="6" t="s">
        <v>743</v>
      </c>
      <c r="G109" s="104" t="s">
        <v>745</v>
      </c>
      <c r="H109" s="6">
        <v>-10.25</v>
      </c>
      <c r="I109" s="10">
        <v>-16.559999999999999</v>
      </c>
      <c r="J109" s="10">
        <v>0.33</v>
      </c>
      <c r="K109" s="35">
        <f t="shared" ref="K109" si="19">H109/4.184</f>
        <v>-2.4498087954110899</v>
      </c>
      <c r="L109" s="157">
        <f t="shared" ref="L109" si="20">I109/4.184</f>
        <v>-3.95793499043977</v>
      </c>
      <c r="M109" s="157">
        <f t="shared" ref="M109" si="21">J109/4.184</f>
        <v>7.8871892925430218E-2</v>
      </c>
      <c r="N109" s="158">
        <v>-4.0057</v>
      </c>
      <c r="O109" s="158"/>
      <c r="P109" s="158"/>
      <c r="Q109" s="158"/>
      <c r="R109" s="158"/>
      <c r="S109" s="158"/>
      <c r="T109" s="158"/>
      <c r="U109" s="158"/>
      <c r="V109" s="158">
        <v>-9.5777000000000001</v>
      </c>
    </row>
    <row r="110" spans="2:24" s="6" customFormat="1" outlineLevel="1" x14ac:dyDescent="0.25">
      <c r="B110" s="11">
        <v>8</v>
      </c>
      <c r="C110" s="111" t="s">
        <v>742</v>
      </c>
      <c r="D110" s="103"/>
      <c r="F110" s="6" t="s">
        <v>743</v>
      </c>
      <c r="G110" s="104" t="s">
        <v>436</v>
      </c>
      <c r="H110" s="6">
        <v>28.9</v>
      </c>
      <c r="I110" s="10">
        <v>21.53</v>
      </c>
      <c r="J110" s="10">
        <v>0.34</v>
      </c>
      <c r="K110" s="35">
        <f t="shared" ref="K110" si="22">H110/4.184</f>
        <v>6.9072657743785841</v>
      </c>
      <c r="L110" s="157">
        <f t="shared" ref="L110" si="23">I110/4.184</f>
        <v>5.1457934990439771</v>
      </c>
      <c r="M110" s="157">
        <f t="shared" ref="M110" si="24">J110/4.184</f>
        <v>8.1261950286806883E-2</v>
      </c>
      <c r="N110" s="158">
        <v>4.5082000000000004</v>
      </c>
      <c r="O110" s="158"/>
      <c r="P110" s="158"/>
      <c r="Q110" s="158"/>
      <c r="R110" s="158"/>
      <c r="S110" s="158"/>
      <c r="T110" s="158"/>
      <c r="U110" s="158"/>
      <c r="V110" s="158">
        <v>8.6662999999999997</v>
      </c>
    </row>
    <row r="111" spans="2:24" s="34" customFormat="1" outlineLevel="1" x14ac:dyDescent="0.25">
      <c r="B111" s="11">
        <v>9</v>
      </c>
      <c r="C111" s="101" t="s">
        <v>415</v>
      </c>
      <c r="D111" s="104"/>
      <c r="F111" s="34" t="s">
        <v>722</v>
      </c>
      <c r="G111" s="104" t="s">
        <v>85</v>
      </c>
      <c r="H111" s="34">
        <v>-189.83</v>
      </c>
      <c r="I111" s="33">
        <v>-200.71</v>
      </c>
      <c r="J111" s="33">
        <v>0.16</v>
      </c>
      <c r="K111" s="35">
        <f t="shared" si="11"/>
        <v>-45.370458891013385</v>
      </c>
      <c r="L111" s="157">
        <f t="shared" si="12"/>
        <v>-47.970841300191204</v>
      </c>
      <c r="M111" s="157">
        <f t="shared" si="13"/>
        <v>3.8240917782026769E-2</v>
      </c>
      <c r="N111" s="159">
        <v>-48.5792</v>
      </c>
      <c r="O111" s="159"/>
      <c r="P111" s="159"/>
      <c r="Q111" s="159"/>
      <c r="R111" s="159"/>
      <c r="S111" s="159"/>
      <c r="T111" s="159"/>
      <c r="U111" s="159"/>
      <c r="V111" s="159">
        <v>-32.099699999999999</v>
      </c>
    </row>
    <row r="112" spans="2:24" s="34" customFormat="1" outlineLevel="1" x14ac:dyDescent="0.25">
      <c r="B112" s="11">
        <v>10</v>
      </c>
      <c r="C112" s="101" t="s">
        <v>166</v>
      </c>
      <c r="D112" s="104"/>
      <c r="F112" s="34" t="s">
        <v>708</v>
      </c>
      <c r="G112" s="104" t="s">
        <v>281</v>
      </c>
      <c r="H112" s="34">
        <v>-180.96</v>
      </c>
      <c r="I112" s="33">
        <v>-183.93</v>
      </c>
      <c r="J112" s="33">
        <v>0.48</v>
      </c>
      <c r="K112" s="35">
        <f t="shared" si="11"/>
        <v>-43.250478011472275</v>
      </c>
      <c r="L112" s="157">
        <f t="shared" si="12"/>
        <v>-43.960325047801149</v>
      </c>
      <c r="M112" s="157">
        <f t="shared" si="13"/>
        <v>0.1147227533460803</v>
      </c>
      <c r="N112" s="159">
        <v>-44.734400000000001</v>
      </c>
      <c r="O112" s="159"/>
      <c r="P112" s="159"/>
      <c r="Q112" s="159"/>
      <c r="R112" s="159"/>
      <c r="S112" s="159"/>
      <c r="T112" s="159"/>
      <c r="U112" s="159"/>
      <c r="V112" s="159">
        <v>-46.944099999999999</v>
      </c>
    </row>
    <row r="113" spans="2:24" s="34" customFormat="1" outlineLevel="1" x14ac:dyDescent="0.25">
      <c r="B113" s="11">
        <v>11</v>
      </c>
      <c r="C113" s="101" t="s">
        <v>746</v>
      </c>
      <c r="D113" s="104"/>
      <c r="F113" s="34" t="s">
        <v>708</v>
      </c>
      <c r="G113" s="104" t="s">
        <v>747</v>
      </c>
      <c r="H113" s="34">
        <v>-124.76</v>
      </c>
      <c r="I113" s="33">
        <v>-126.13</v>
      </c>
      <c r="J113" s="33">
        <v>0.55000000000000004</v>
      </c>
      <c r="K113" s="35">
        <f t="shared" ref="K113" si="25">H113/4.184</f>
        <v>-29.818355640535373</v>
      </c>
      <c r="L113" s="157">
        <f t="shared" ref="L113" si="26">I113/4.184</f>
        <v>-30.145793499043975</v>
      </c>
      <c r="M113" s="157">
        <f t="shared" ref="M113" si="27">J113/4.184</f>
        <v>0.13145315487571702</v>
      </c>
      <c r="N113" s="158">
        <v>-31.2927</v>
      </c>
      <c r="O113" s="159"/>
      <c r="P113" s="159"/>
      <c r="Q113" s="159"/>
      <c r="R113" s="159"/>
      <c r="S113" s="159"/>
      <c r="T113" s="159"/>
      <c r="U113" s="159"/>
      <c r="V113" s="159">
        <v>-12.7986</v>
      </c>
    </row>
    <row r="114" spans="2:24" s="34" customFormat="1" outlineLevel="1" x14ac:dyDescent="0.25">
      <c r="B114" s="11">
        <v>12</v>
      </c>
      <c r="C114" s="101" t="s">
        <v>748</v>
      </c>
      <c r="D114" s="104"/>
      <c r="F114" s="34" t="s">
        <v>734</v>
      </c>
      <c r="G114" s="104" t="s">
        <v>733</v>
      </c>
      <c r="H114" s="34">
        <v>-371.12</v>
      </c>
      <c r="I114" s="33">
        <v>-378.45</v>
      </c>
      <c r="J114" s="33">
        <v>0.22</v>
      </c>
      <c r="K114" s="35">
        <f t="shared" ref="K114" si="28">H114/4.184</f>
        <v>-88.699808795411087</v>
      </c>
      <c r="L114" s="157">
        <f t="shared" ref="L114" si="29">I114/4.184</f>
        <v>-90.451720841300187</v>
      </c>
      <c r="M114" s="157">
        <f t="shared" ref="M114" si="30">J114/4.184</f>
        <v>5.2581261950286805E-2</v>
      </c>
      <c r="N114" s="159">
        <v>-91.749099999999999</v>
      </c>
      <c r="O114" s="159"/>
      <c r="P114" s="159"/>
      <c r="Q114" s="159"/>
      <c r="R114" s="159"/>
      <c r="S114" s="159"/>
      <c r="T114" s="159"/>
      <c r="U114" s="159"/>
      <c r="V114" s="159">
        <v>-81.328699999999998</v>
      </c>
    </row>
    <row r="115" spans="2:24" s="34" customFormat="1" outlineLevel="1" x14ac:dyDescent="0.25">
      <c r="B115" s="11">
        <v>13</v>
      </c>
      <c r="C115" s="101" t="s">
        <v>749</v>
      </c>
      <c r="D115" s="104"/>
      <c r="F115" s="34" t="s">
        <v>734</v>
      </c>
      <c r="G115" s="104" t="s">
        <v>872</v>
      </c>
      <c r="H115" s="34">
        <v>112.43</v>
      </c>
      <c r="I115" s="33">
        <v>105.42</v>
      </c>
      <c r="J115" s="33">
        <v>0.61</v>
      </c>
      <c r="K115" s="35">
        <f t="shared" ref="K115" si="31">H115/4.184</f>
        <v>26.871414913957935</v>
      </c>
      <c r="L115" s="157">
        <f t="shared" ref="L115" si="32">I115/4.184</f>
        <v>25.195984703632888</v>
      </c>
      <c r="M115" s="157">
        <f t="shared" ref="M115" si="33">J115/4.184</f>
        <v>0.14579349904397704</v>
      </c>
      <c r="N115" s="159">
        <v>24.0105</v>
      </c>
      <c r="O115" s="159"/>
      <c r="P115" s="159"/>
      <c r="Q115" s="159"/>
      <c r="R115" s="159"/>
      <c r="S115" s="159"/>
      <c r="T115" s="159"/>
      <c r="U115" s="159"/>
      <c r="V115" s="159">
        <v>45.948399999999999</v>
      </c>
    </row>
    <row r="116" spans="2:24" s="34" customFormat="1" outlineLevel="1" x14ac:dyDescent="0.25">
      <c r="B116" s="11">
        <v>14</v>
      </c>
      <c r="C116" s="101" t="s">
        <v>137</v>
      </c>
      <c r="D116" s="104"/>
      <c r="F116" s="34" t="s">
        <v>734</v>
      </c>
      <c r="G116" s="104" t="s">
        <v>750</v>
      </c>
      <c r="H116" s="34">
        <v>9.41</v>
      </c>
      <c r="I116" s="33">
        <v>1.74</v>
      </c>
      <c r="J116" s="33">
        <v>0.54</v>
      </c>
      <c r="K116" s="35">
        <f t="shared" ref="K116:K124" si="34">H116/4.184</f>
        <v>2.2490439770554493</v>
      </c>
      <c r="L116" s="157">
        <f t="shared" ref="L116:L124" si="35">I116/4.184</f>
        <v>0.41586998087954108</v>
      </c>
      <c r="M116" s="157">
        <f t="shared" ref="M116:M124" si="36">J116/4.184</f>
        <v>0.12906309751434034</v>
      </c>
      <c r="N116" s="159">
        <v>-1.575</v>
      </c>
      <c r="O116" s="159"/>
      <c r="P116" s="159"/>
      <c r="Q116" s="159"/>
      <c r="R116" s="159"/>
      <c r="S116" s="159"/>
      <c r="T116" s="159"/>
      <c r="U116" s="159"/>
      <c r="V116" s="159">
        <v>37.778300000000002</v>
      </c>
    </row>
    <row r="117" spans="2:24" s="34" customFormat="1" outlineLevel="1" x14ac:dyDescent="0.25">
      <c r="B117" s="11">
        <v>15</v>
      </c>
      <c r="C117" s="101" t="s">
        <v>735</v>
      </c>
      <c r="D117" s="104"/>
      <c r="F117" s="34" t="s">
        <v>736</v>
      </c>
      <c r="G117" s="104" t="s">
        <v>170</v>
      </c>
      <c r="H117" s="34">
        <v>22.29</v>
      </c>
      <c r="I117" s="33">
        <v>12.54</v>
      </c>
      <c r="J117" s="33">
        <v>0.49</v>
      </c>
      <c r="K117" s="35">
        <f t="shared" si="34"/>
        <v>5.3274378585086035</v>
      </c>
      <c r="L117" s="157">
        <f t="shared" si="35"/>
        <v>2.9971319311663476</v>
      </c>
      <c r="M117" s="157">
        <f t="shared" si="36"/>
        <v>0.11711281070745697</v>
      </c>
      <c r="N117" s="159">
        <v>1.8444</v>
      </c>
      <c r="O117" s="159"/>
      <c r="P117" s="159"/>
      <c r="Q117" s="159"/>
      <c r="R117" s="159"/>
      <c r="S117" s="159"/>
      <c r="T117" s="159"/>
      <c r="U117" s="159"/>
      <c r="V117" s="159">
        <v>11.2933</v>
      </c>
    </row>
    <row r="118" spans="2:24" s="34" customFormat="1" outlineLevel="1" x14ac:dyDescent="0.25">
      <c r="B118" s="11">
        <v>16</v>
      </c>
      <c r="C118" s="104" t="s">
        <v>737</v>
      </c>
      <c r="D118" s="104"/>
      <c r="F118" s="34" t="s">
        <v>738</v>
      </c>
      <c r="G118" s="104" t="s">
        <v>445</v>
      </c>
      <c r="H118" s="34">
        <v>-114.9</v>
      </c>
      <c r="I118" s="33">
        <v>-127.72</v>
      </c>
      <c r="J118" s="33">
        <v>0.74</v>
      </c>
      <c r="K118" s="35">
        <f t="shared" si="34"/>
        <v>-27.461759082217974</v>
      </c>
      <c r="L118" s="157">
        <f t="shared" si="35"/>
        <v>-30.525812619502865</v>
      </c>
      <c r="M118" s="157">
        <f t="shared" si="36"/>
        <v>0.17686424474187379</v>
      </c>
      <c r="N118" s="160" t="s">
        <v>819</v>
      </c>
      <c r="O118" s="159"/>
      <c r="P118" s="159"/>
      <c r="Q118" s="159"/>
      <c r="R118" s="159"/>
      <c r="S118" s="159"/>
      <c r="T118" s="159"/>
      <c r="U118" s="159"/>
      <c r="V118" s="160" t="s">
        <v>819</v>
      </c>
    </row>
    <row r="119" spans="2:24" s="34" customFormat="1" outlineLevel="1" x14ac:dyDescent="0.25">
      <c r="B119" s="11">
        <v>17</v>
      </c>
      <c r="C119" s="101" t="s">
        <v>116</v>
      </c>
      <c r="D119" s="104"/>
      <c r="F119" s="34" t="s">
        <v>738</v>
      </c>
      <c r="G119" s="104" t="s">
        <v>188</v>
      </c>
      <c r="H119" s="34">
        <v>-379.05</v>
      </c>
      <c r="I119" s="33">
        <v>-392.45</v>
      </c>
      <c r="J119" s="33">
        <v>0.95</v>
      </c>
      <c r="K119" s="35">
        <f t="shared" si="34"/>
        <v>-90.595124282982795</v>
      </c>
      <c r="L119" s="157">
        <f t="shared" si="35"/>
        <v>-93.797801147227531</v>
      </c>
      <c r="M119" s="157">
        <f t="shared" si="36"/>
        <v>0.22705544933078392</v>
      </c>
      <c r="N119" s="159">
        <v>-95.051000000000002</v>
      </c>
      <c r="O119" s="159"/>
      <c r="P119" s="159"/>
      <c r="Q119" s="159"/>
      <c r="R119" s="159"/>
      <c r="S119" s="159"/>
      <c r="T119" s="159"/>
      <c r="U119" s="159"/>
      <c r="V119" s="159">
        <v>-86.865200000000002</v>
      </c>
    </row>
    <row r="120" spans="2:24" s="34" customFormat="1" outlineLevel="1" x14ac:dyDescent="0.25">
      <c r="B120" s="75">
        <v>34</v>
      </c>
      <c r="C120" s="100" t="s">
        <v>811</v>
      </c>
      <c r="D120" s="104"/>
      <c r="F120" s="34" t="s">
        <v>803</v>
      </c>
      <c r="G120" s="104"/>
      <c r="H120" s="34">
        <v>-602.78</v>
      </c>
      <c r="I120" s="33">
        <v>-612.96</v>
      </c>
      <c r="J120" s="33">
        <v>0.79</v>
      </c>
      <c r="K120" s="35">
        <f t="shared" ref="K120:K121" si="37">H120/4.184</f>
        <v>-144.06787762906308</v>
      </c>
      <c r="L120" s="157">
        <f t="shared" ref="L120:L121" si="38">I120/4.184</f>
        <v>-146.50095602294456</v>
      </c>
      <c r="M120" s="157">
        <f t="shared" ref="M120:M121" si="39">J120/4.184</f>
        <v>0.18881453154875716</v>
      </c>
      <c r="N120" s="161"/>
      <c r="O120" s="161"/>
      <c r="P120" s="161"/>
      <c r="Q120" s="161"/>
      <c r="R120" s="161"/>
      <c r="S120" s="161"/>
      <c r="T120" s="161"/>
      <c r="U120" s="161"/>
      <c r="V120" s="161"/>
    </row>
    <row r="121" spans="2:24" s="34" customFormat="1" ht="14.4" outlineLevel="1" x14ac:dyDescent="0.25">
      <c r="B121" s="75">
        <v>35</v>
      </c>
      <c r="C121" s="112" t="s">
        <v>810</v>
      </c>
      <c r="D121" s="104"/>
      <c r="F121" s="64" t="s">
        <v>763</v>
      </c>
      <c r="G121" s="209"/>
      <c r="H121" s="34">
        <v>376.3</v>
      </c>
      <c r="I121" s="33">
        <v>380.34</v>
      </c>
      <c r="J121" s="33">
        <v>0.97</v>
      </c>
      <c r="K121" s="35">
        <f t="shared" si="37"/>
        <v>89.937858508604208</v>
      </c>
      <c r="L121" s="157">
        <f t="shared" si="38"/>
        <v>90.903441682600373</v>
      </c>
      <c r="M121" s="157">
        <f t="shared" si="39"/>
        <v>0.23183556405353728</v>
      </c>
      <c r="N121" s="161"/>
      <c r="O121" s="161"/>
      <c r="P121" s="161"/>
      <c r="Q121" s="161"/>
      <c r="R121" s="161"/>
      <c r="S121" s="161"/>
      <c r="T121" s="161"/>
      <c r="U121" s="161"/>
      <c r="V121" s="161"/>
    </row>
    <row r="122" spans="2:24" s="34" customFormat="1" outlineLevel="1" x14ac:dyDescent="0.25">
      <c r="B122" s="11">
        <v>18</v>
      </c>
      <c r="C122" s="111" t="s">
        <v>113</v>
      </c>
      <c r="D122" s="104"/>
      <c r="F122" s="34" t="s">
        <v>752</v>
      </c>
      <c r="G122" s="104"/>
      <c r="H122" s="65">
        <v>176.85</v>
      </c>
      <c r="I122" s="33">
        <v>177.97</v>
      </c>
      <c r="J122" s="33">
        <v>0.6</v>
      </c>
      <c r="K122" s="35">
        <f t="shared" si="34"/>
        <v>42.26816443594646</v>
      </c>
      <c r="L122" s="157">
        <f t="shared" si="35"/>
        <v>42.535850860420645</v>
      </c>
      <c r="M122" s="157">
        <f t="shared" si="36"/>
        <v>0.14340344168260036</v>
      </c>
      <c r="N122" s="159">
        <v>42.874499999999998</v>
      </c>
      <c r="O122" s="159"/>
      <c r="P122" s="159"/>
      <c r="Q122" s="159"/>
      <c r="R122" s="159"/>
      <c r="S122" s="159"/>
      <c r="T122" s="159"/>
      <c r="U122" s="159"/>
      <c r="V122" s="159">
        <v>50.501199999999997</v>
      </c>
    </row>
    <row r="123" spans="2:24" s="34" customFormat="1" outlineLevel="1" x14ac:dyDescent="0.25">
      <c r="B123" s="11">
        <v>19</v>
      </c>
      <c r="C123" s="111" t="s">
        <v>122</v>
      </c>
      <c r="D123" s="104"/>
      <c r="F123" s="34" t="s">
        <v>751</v>
      </c>
      <c r="G123" s="104"/>
      <c r="H123" s="34">
        <v>-45.45</v>
      </c>
      <c r="I123" s="33">
        <v>-48.57</v>
      </c>
      <c r="J123" s="33">
        <v>0.13</v>
      </c>
      <c r="K123" s="35">
        <f t="shared" si="34"/>
        <v>-10.86281070745698</v>
      </c>
      <c r="L123" s="157">
        <f t="shared" si="35"/>
        <v>-11.6085086042065</v>
      </c>
      <c r="M123" s="157">
        <f t="shared" si="36"/>
        <v>3.1070745697896748E-2</v>
      </c>
      <c r="N123" s="159">
        <v>-11.405200000000001</v>
      </c>
      <c r="O123" s="159"/>
      <c r="P123" s="159"/>
      <c r="Q123" s="159"/>
      <c r="R123" s="159"/>
      <c r="S123" s="159"/>
      <c r="T123" s="159"/>
      <c r="U123" s="159"/>
      <c r="V123" s="159">
        <v>10.120900000000001</v>
      </c>
    </row>
    <row r="124" spans="2:24" s="34" customFormat="1" outlineLevel="1" x14ac:dyDescent="0.25">
      <c r="B124" s="11">
        <v>20</v>
      </c>
      <c r="C124" s="111" t="s">
        <v>135</v>
      </c>
      <c r="D124" s="104"/>
      <c r="F124" s="34" t="s">
        <v>751</v>
      </c>
      <c r="G124" s="104"/>
      <c r="H124" s="34">
        <v>272.81</v>
      </c>
      <c r="I124" s="33">
        <v>272.12</v>
      </c>
      <c r="J124" s="33">
        <v>0.98</v>
      </c>
      <c r="K124" s="35">
        <f t="shared" si="34"/>
        <v>65.203154875717019</v>
      </c>
      <c r="L124" s="157">
        <f t="shared" si="35"/>
        <v>65.038240917782019</v>
      </c>
      <c r="M124" s="157">
        <f t="shared" si="36"/>
        <v>0.23422562141491393</v>
      </c>
      <c r="N124" s="159">
        <v>65.766499999999994</v>
      </c>
      <c r="O124" s="159"/>
      <c r="P124" s="159"/>
      <c r="Q124" s="159"/>
      <c r="R124" s="159"/>
      <c r="S124" s="159"/>
      <c r="T124" s="159"/>
      <c r="U124" s="159"/>
      <c r="V124" s="159">
        <v>79.147499999999994</v>
      </c>
      <c r="X124" s="73"/>
    </row>
    <row r="125" spans="2:24" s="6" customFormat="1" ht="13.5" customHeight="1" outlineLevel="1" x14ac:dyDescent="0.25">
      <c r="B125" s="11">
        <v>21</v>
      </c>
      <c r="C125" s="103" t="s">
        <v>103</v>
      </c>
      <c r="D125" s="103"/>
      <c r="F125" s="6" t="s">
        <v>707</v>
      </c>
      <c r="G125" s="104" t="s">
        <v>551</v>
      </c>
      <c r="H125" s="6">
        <v>-3.31</v>
      </c>
      <c r="I125" s="10">
        <v>-9.9700000000000006</v>
      </c>
      <c r="J125" s="10">
        <v>0.37</v>
      </c>
      <c r="K125" s="35">
        <f t="shared" si="11"/>
        <v>-0.79110898661567874</v>
      </c>
      <c r="L125" s="157">
        <f t="shared" si="12"/>
        <v>-2.3828871892925432</v>
      </c>
      <c r="M125" s="157">
        <f t="shared" si="13"/>
        <v>8.8432122370936894E-2</v>
      </c>
      <c r="N125" s="158">
        <v>-2.2330999999999999</v>
      </c>
      <c r="O125" s="158"/>
      <c r="P125" s="158"/>
      <c r="Q125" s="158"/>
      <c r="R125" s="158"/>
      <c r="S125" s="158"/>
      <c r="T125" s="158"/>
      <c r="U125" s="158"/>
      <c r="V125" s="158">
        <v>7.5498000000000003</v>
      </c>
    </row>
    <row r="126" spans="2:24" s="6" customFormat="1" outlineLevel="1" x14ac:dyDescent="0.25">
      <c r="B126" s="11">
        <v>22</v>
      </c>
      <c r="C126" s="104" t="s">
        <v>121</v>
      </c>
      <c r="D126" s="104"/>
      <c r="E126" s="34"/>
      <c r="F126" s="34" t="s">
        <v>707</v>
      </c>
      <c r="G126" s="104" t="s">
        <v>709</v>
      </c>
      <c r="H126" s="34">
        <v>22.46</v>
      </c>
      <c r="I126" s="33">
        <v>15.62</v>
      </c>
      <c r="J126" s="33">
        <v>0.77</v>
      </c>
      <c r="K126" s="35">
        <f t="shared" si="11"/>
        <v>5.3680688336520079</v>
      </c>
      <c r="L126" s="157">
        <f t="shared" si="12"/>
        <v>3.733269598470363</v>
      </c>
      <c r="M126" s="157">
        <f t="shared" si="13"/>
        <v>0.18403441682600383</v>
      </c>
      <c r="N126" s="159">
        <v>3.3323</v>
      </c>
      <c r="O126" s="158"/>
      <c r="P126" s="158"/>
      <c r="Q126" s="158"/>
      <c r="R126" s="158"/>
      <c r="S126" s="158"/>
      <c r="T126" s="158"/>
      <c r="U126" s="158"/>
      <c r="V126" s="158"/>
    </row>
    <row r="127" spans="2:24" s="6" customFormat="1" outlineLevel="1" x14ac:dyDescent="0.25">
      <c r="B127" s="11">
        <v>23</v>
      </c>
      <c r="C127" s="106" t="s">
        <v>130</v>
      </c>
      <c r="D127" s="104"/>
      <c r="E127" s="34"/>
      <c r="F127" s="34" t="s">
        <v>707</v>
      </c>
      <c r="G127" s="104" t="s">
        <v>710</v>
      </c>
      <c r="H127" s="34">
        <v>172.8</v>
      </c>
      <c r="I127" s="33">
        <v>164.5</v>
      </c>
      <c r="J127" s="66">
        <v>1.4</v>
      </c>
      <c r="K127" s="35">
        <f t="shared" si="11"/>
        <v>41.300191204588913</v>
      </c>
      <c r="L127" s="157">
        <f t="shared" si="12"/>
        <v>39.316443594646273</v>
      </c>
      <c r="M127" s="157">
        <f t="shared" si="13"/>
        <v>0.3346080305927342</v>
      </c>
      <c r="N127" s="159"/>
      <c r="O127" s="158"/>
      <c r="P127" s="158"/>
      <c r="Q127" s="158"/>
      <c r="R127" s="158"/>
      <c r="S127" s="158"/>
      <c r="T127" s="158"/>
      <c r="U127" s="158"/>
      <c r="V127" s="158"/>
    </row>
    <row r="128" spans="2:24" s="6" customFormat="1" outlineLevel="1" x14ac:dyDescent="0.25">
      <c r="B128" s="11">
        <v>24</v>
      </c>
      <c r="C128" s="103" t="s">
        <v>426</v>
      </c>
      <c r="D128" s="103"/>
      <c r="F128" s="6" t="s">
        <v>716</v>
      </c>
      <c r="G128" s="104" t="s">
        <v>428</v>
      </c>
      <c r="H128" s="6">
        <v>-154.97</v>
      </c>
      <c r="I128" s="10">
        <v>-165.45</v>
      </c>
      <c r="J128" s="10">
        <v>0.28000000000000003</v>
      </c>
      <c r="K128" s="35">
        <f t="shared" si="11"/>
        <v>-37.038718929254301</v>
      </c>
      <c r="L128" s="157">
        <f t="shared" si="12"/>
        <v>-39.54349904397705</v>
      </c>
      <c r="M128" s="157">
        <f t="shared" si="13"/>
        <v>6.6921606118546847E-2</v>
      </c>
      <c r="N128" s="158"/>
      <c r="O128" s="158"/>
      <c r="P128" s="158"/>
      <c r="Q128" s="158"/>
      <c r="R128" s="158"/>
      <c r="S128" s="158"/>
      <c r="T128" s="158"/>
      <c r="U128" s="158"/>
      <c r="V128" s="158"/>
    </row>
    <row r="129" spans="2:22" s="6" customFormat="1" outlineLevel="1" x14ac:dyDescent="0.25">
      <c r="B129" s="11">
        <v>25</v>
      </c>
      <c r="C129" s="103" t="s">
        <v>439</v>
      </c>
      <c r="D129" s="103"/>
      <c r="F129" s="6" t="s">
        <v>716</v>
      </c>
      <c r="G129" s="104" t="s">
        <v>717</v>
      </c>
      <c r="H129" s="6">
        <v>-40</v>
      </c>
      <c r="I129" s="10">
        <v>-52.54</v>
      </c>
      <c r="J129" s="10">
        <v>0.38</v>
      </c>
      <c r="K129" s="35">
        <f t="shared" si="11"/>
        <v>-9.5602294455066925</v>
      </c>
      <c r="L129" s="157">
        <f t="shared" si="12"/>
        <v>-12.55736137667304</v>
      </c>
      <c r="M129" s="157">
        <f t="shared" si="13"/>
        <v>9.0822179732313574E-2</v>
      </c>
      <c r="N129" s="158"/>
      <c r="O129" s="158"/>
      <c r="P129" s="158"/>
      <c r="Q129" s="158"/>
      <c r="R129" s="158"/>
      <c r="S129" s="158"/>
      <c r="T129" s="158"/>
      <c r="U129" s="158"/>
      <c r="V129" s="158"/>
    </row>
    <row r="130" spans="2:22" s="6" customFormat="1" outlineLevel="1" x14ac:dyDescent="0.25">
      <c r="B130" s="11">
        <v>26</v>
      </c>
      <c r="C130" s="103" t="s">
        <v>718</v>
      </c>
      <c r="D130" s="103"/>
      <c r="F130" s="6" t="s">
        <v>716</v>
      </c>
      <c r="G130" s="104" t="s">
        <v>227</v>
      </c>
      <c r="H130" s="6">
        <v>-112.55</v>
      </c>
      <c r="I130" s="10">
        <v>-123.86</v>
      </c>
      <c r="J130" s="10">
        <v>0.84</v>
      </c>
      <c r="K130" s="35">
        <f t="shared" si="11"/>
        <v>-26.900095602294453</v>
      </c>
      <c r="L130" s="157">
        <f t="shared" si="12"/>
        <v>-29.603250478011471</v>
      </c>
      <c r="M130" s="157">
        <f t="shared" si="13"/>
        <v>0.20076481835564053</v>
      </c>
      <c r="N130" s="158"/>
      <c r="O130" s="158"/>
      <c r="P130" s="158"/>
      <c r="Q130" s="158"/>
      <c r="R130" s="158"/>
      <c r="S130" s="158"/>
      <c r="T130" s="158"/>
      <c r="U130" s="158"/>
      <c r="V130" s="158"/>
    </row>
    <row r="131" spans="2:22" s="6" customFormat="1" outlineLevel="1" x14ac:dyDescent="0.25">
      <c r="B131" s="11">
        <v>27</v>
      </c>
      <c r="C131" s="104" t="s">
        <v>104</v>
      </c>
      <c r="D131" s="104"/>
      <c r="E131" s="34"/>
      <c r="F131" s="34" t="s">
        <v>719</v>
      </c>
      <c r="G131" s="104" t="s">
        <v>169</v>
      </c>
      <c r="H131" s="34">
        <v>1.1599999999999999</v>
      </c>
      <c r="I131" s="33">
        <v>-12.26</v>
      </c>
      <c r="J131" s="33">
        <v>0.51</v>
      </c>
      <c r="K131" s="35">
        <f t="shared" si="11"/>
        <v>0.27724665391969405</v>
      </c>
      <c r="L131" s="157">
        <f t="shared" si="12"/>
        <v>-2.9302103250478009</v>
      </c>
      <c r="M131" s="157">
        <f t="shared" si="13"/>
        <v>0.12189292543021032</v>
      </c>
      <c r="N131" s="159"/>
      <c r="O131" s="159"/>
      <c r="P131" s="159"/>
      <c r="Q131" s="159"/>
      <c r="R131" s="159"/>
      <c r="S131" s="159"/>
      <c r="T131" s="159"/>
      <c r="U131" s="159"/>
      <c r="V131" s="158"/>
    </row>
    <row r="132" spans="2:22" s="6" customFormat="1" outlineLevel="1" x14ac:dyDescent="0.25">
      <c r="B132" s="11">
        <v>28</v>
      </c>
      <c r="C132" s="104" t="s">
        <v>720</v>
      </c>
      <c r="D132" s="104"/>
      <c r="E132" s="34"/>
      <c r="F132" s="34" t="s">
        <v>719</v>
      </c>
      <c r="G132" s="104" t="s">
        <v>184</v>
      </c>
      <c r="H132" s="34">
        <v>-42.16</v>
      </c>
      <c r="I132" s="33">
        <v>-55.59</v>
      </c>
      <c r="J132" s="33">
        <v>0.61</v>
      </c>
      <c r="K132" s="35">
        <f t="shared" si="11"/>
        <v>-10.076481835564053</v>
      </c>
      <c r="L132" s="157">
        <f t="shared" si="12"/>
        <v>-13.286328871892925</v>
      </c>
      <c r="M132" s="157">
        <f t="shared" si="13"/>
        <v>0.14579349904397704</v>
      </c>
      <c r="N132" s="159"/>
      <c r="O132" s="159"/>
      <c r="P132" s="159"/>
      <c r="Q132" s="159"/>
      <c r="R132" s="159"/>
      <c r="S132" s="159"/>
      <c r="T132" s="159"/>
      <c r="U132" s="159"/>
      <c r="V132" s="158"/>
    </row>
    <row r="133" spans="2:22" s="6" customFormat="1" outlineLevel="1" x14ac:dyDescent="0.25">
      <c r="B133" s="11">
        <v>29</v>
      </c>
      <c r="C133" s="103" t="s">
        <v>721</v>
      </c>
      <c r="D133" s="103"/>
      <c r="F133" s="34" t="s">
        <v>719</v>
      </c>
      <c r="G133" s="104" t="s">
        <v>186</v>
      </c>
      <c r="H133" s="6">
        <v>-12.79</v>
      </c>
      <c r="I133" s="10">
        <v>-26.06</v>
      </c>
      <c r="J133" s="10">
        <v>0.61</v>
      </c>
      <c r="K133" s="35">
        <f t="shared" si="11"/>
        <v>-3.0568833652007643</v>
      </c>
      <c r="L133" s="157">
        <f t="shared" si="12"/>
        <v>-6.2284894837476097</v>
      </c>
      <c r="M133" s="157">
        <f t="shared" si="13"/>
        <v>0.14579349904397704</v>
      </c>
      <c r="N133" s="158"/>
      <c r="O133" s="158"/>
      <c r="P133" s="158"/>
      <c r="Q133" s="158"/>
      <c r="R133" s="158"/>
      <c r="S133" s="158"/>
      <c r="T133" s="158"/>
      <c r="U133" s="158"/>
      <c r="V133" s="158"/>
    </row>
    <row r="134" spans="2:22" s="34" customFormat="1" outlineLevel="1" x14ac:dyDescent="0.25">
      <c r="B134" s="11">
        <v>30</v>
      </c>
      <c r="C134" s="104" t="s">
        <v>418</v>
      </c>
      <c r="D134" s="104"/>
      <c r="F134" s="34" t="s">
        <v>723</v>
      </c>
      <c r="G134" s="104" t="s">
        <v>419</v>
      </c>
      <c r="H134" s="34">
        <v>-216.89</v>
      </c>
      <c r="I134" s="33">
        <v>-234.61</v>
      </c>
      <c r="J134" s="33">
        <v>0.21</v>
      </c>
      <c r="K134" s="35">
        <f t="shared" si="11"/>
        <v>-51.837954110898657</v>
      </c>
      <c r="L134" s="157">
        <f t="shared" si="12"/>
        <v>-56.073135755258129</v>
      </c>
      <c r="M134" s="157">
        <f t="shared" si="13"/>
        <v>5.0191204588910132E-2</v>
      </c>
      <c r="N134" s="158"/>
      <c r="O134" s="159"/>
      <c r="P134" s="159"/>
      <c r="Q134" s="159"/>
      <c r="R134" s="159"/>
      <c r="S134" s="159"/>
      <c r="T134" s="159"/>
      <c r="U134" s="159"/>
      <c r="V134" s="159"/>
    </row>
    <row r="135" spans="2:22" s="34" customFormat="1" outlineLevel="1" x14ac:dyDescent="0.25">
      <c r="B135" s="11">
        <v>31</v>
      </c>
      <c r="C135" s="104" t="s">
        <v>724</v>
      </c>
      <c r="D135" s="104"/>
      <c r="F135" s="34" t="s">
        <v>723</v>
      </c>
      <c r="G135" s="104" t="s">
        <v>196</v>
      </c>
      <c r="H135" s="34">
        <v>-166.5</v>
      </c>
      <c r="I135" s="33">
        <v>-184.01</v>
      </c>
      <c r="J135" s="33">
        <v>0.44</v>
      </c>
      <c r="K135" s="35">
        <f t="shared" si="11"/>
        <v>-39.794455066921607</v>
      </c>
      <c r="L135" s="157">
        <f t="shared" si="12"/>
        <v>-43.979445506692159</v>
      </c>
      <c r="M135" s="157">
        <f t="shared" si="13"/>
        <v>0.10516252390057361</v>
      </c>
      <c r="N135" s="159"/>
      <c r="O135" s="159"/>
      <c r="P135" s="159"/>
      <c r="Q135" s="159"/>
      <c r="R135" s="159"/>
      <c r="S135" s="159"/>
      <c r="T135" s="159"/>
      <c r="U135" s="159"/>
      <c r="V135" s="159"/>
    </row>
    <row r="136" spans="2:22" s="34" customFormat="1" ht="14.4" outlineLevel="1" x14ac:dyDescent="0.25">
      <c r="B136" s="75">
        <v>36</v>
      </c>
      <c r="C136" s="113" t="s">
        <v>268</v>
      </c>
      <c r="D136" s="104"/>
      <c r="F136" s="64" t="s">
        <v>764</v>
      </c>
      <c r="G136" s="104"/>
      <c r="H136" s="34">
        <v>-206.99</v>
      </c>
      <c r="I136" s="33">
        <v>-212.63</v>
      </c>
      <c r="J136" s="33">
        <v>0.52</v>
      </c>
      <c r="K136" s="35">
        <f t="shared" si="11"/>
        <v>-49.471797323135753</v>
      </c>
      <c r="L136" s="157">
        <f t="shared" si="12"/>
        <v>-50.819789674952197</v>
      </c>
      <c r="M136" s="157">
        <f t="shared" si="13"/>
        <v>0.12428298279158699</v>
      </c>
      <c r="N136" s="159"/>
      <c r="O136" s="159"/>
      <c r="P136" s="159"/>
      <c r="Q136" s="159"/>
      <c r="R136" s="159"/>
      <c r="S136" s="159"/>
      <c r="T136" s="159"/>
      <c r="U136" s="159"/>
      <c r="V136" s="159"/>
    </row>
    <row r="137" spans="2:22" s="34" customFormat="1" outlineLevel="1" x14ac:dyDescent="0.25">
      <c r="B137" s="11">
        <v>32</v>
      </c>
      <c r="C137" s="104" t="s">
        <v>730</v>
      </c>
      <c r="D137" s="104"/>
      <c r="F137" s="34" t="s">
        <v>729</v>
      </c>
      <c r="G137" s="104" t="s">
        <v>230</v>
      </c>
      <c r="H137" s="34">
        <v>-418.38</v>
      </c>
      <c r="I137" s="33">
        <v>-432.5</v>
      </c>
      <c r="J137" s="33">
        <v>0.54</v>
      </c>
      <c r="K137" s="35">
        <f t="shared" ref="K137:K139" si="40">H137/4.184</f>
        <v>-99.995219885277237</v>
      </c>
      <c r="L137" s="157">
        <f t="shared" ref="L137:L139" si="41">I137/4.184</f>
        <v>-103.3699808795411</v>
      </c>
      <c r="M137" s="157">
        <f t="shared" ref="M137:M139" si="42">J137/4.184</f>
        <v>0.12906309751434034</v>
      </c>
      <c r="N137" s="159"/>
      <c r="O137" s="159"/>
      <c r="P137" s="159"/>
      <c r="Q137" s="159"/>
      <c r="R137" s="159"/>
      <c r="S137" s="159"/>
      <c r="T137" s="159"/>
      <c r="U137" s="159"/>
      <c r="V137" s="159"/>
    </row>
    <row r="138" spans="2:22" s="34" customFormat="1" outlineLevel="1" x14ac:dyDescent="0.25">
      <c r="B138" s="11">
        <v>33</v>
      </c>
      <c r="C138" s="104" t="s">
        <v>731</v>
      </c>
      <c r="D138" s="104"/>
      <c r="F138" s="34" t="s">
        <v>729</v>
      </c>
      <c r="G138" s="104" t="s">
        <v>732</v>
      </c>
      <c r="H138" s="34">
        <v>-344.75</v>
      </c>
      <c r="I138" s="33">
        <v>-357.8</v>
      </c>
      <c r="J138" s="33">
        <v>0.57999999999999996</v>
      </c>
      <c r="K138" s="35">
        <f t="shared" si="40"/>
        <v>-82.397227533460793</v>
      </c>
      <c r="L138" s="157">
        <f t="shared" si="41"/>
        <v>-85.51625239005736</v>
      </c>
      <c r="M138" s="157">
        <f t="shared" si="42"/>
        <v>0.13862332695984703</v>
      </c>
      <c r="N138" s="158"/>
      <c r="O138" s="159"/>
      <c r="P138" s="159"/>
      <c r="Q138" s="159"/>
      <c r="R138" s="159"/>
      <c r="S138" s="159"/>
      <c r="T138" s="159"/>
      <c r="U138" s="159"/>
      <c r="V138" s="159"/>
    </row>
    <row r="139" spans="2:22" s="34" customFormat="1" outlineLevel="1" x14ac:dyDescent="0.25">
      <c r="B139" s="74">
        <v>37</v>
      </c>
      <c r="C139" s="114" t="s">
        <v>754</v>
      </c>
      <c r="D139" s="104"/>
      <c r="F139" s="67" t="s">
        <v>753</v>
      </c>
      <c r="G139" s="104"/>
      <c r="H139" s="34">
        <v>-369.8</v>
      </c>
      <c r="I139" s="33">
        <v>-389.43</v>
      </c>
      <c r="J139" s="33">
        <v>0.49</v>
      </c>
      <c r="K139" s="35">
        <f t="shared" si="40"/>
        <v>-88.384321223709364</v>
      </c>
      <c r="L139" s="157">
        <f t="shared" si="41"/>
        <v>-93.076003824091771</v>
      </c>
      <c r="M139" s="157">
        <f t="shared" si="42"/>
        <v>0.11711281070745697</v>
      </c>
      <c r="N139" s="159"/>
      <c r="O139" s="159"/>
      <c r="P139" s="159"/>
      <c r="Q139" s="159"/>
      <c r="R139" s="159"/>
      <c r="S139" s="159"/>
      <c r="T139" s="159"/>
      <c r="U139" s="159"/>
      <c r="V139" s="159"/>
    </row>
    <row r="140" spans="2:22" s="34" customFormat="1" outlineLevel="1" x14ac:dyDescent="0.25">
      <c r="B140" s="74">
        <v>38</v>
      </c>
      <c r="C140" s="115" t="s">
        <v>766</v>
      </c>
      <c r="D140" s="104"/>
      <c r="F140" s="67" t="s">
        <v>765</v>
      </c>
      <c r="G140" s="104"/>
      <c r="I140" s="33"/>
      <c r="J140" s="33"/>
      <c r="K140" s="35"/>
      <c r="L140" s="157"/>
      <c r="M140" s="157"/>
      <c r="N140" s="159"/>
      <c r="O140" s="159"/>
      <c r="P140" s="159"/>
      <c r="Q140" s="159"/>
      <c r="R140" s="159"/>
      <c r="S140" s="159"/>
      <c r="T140" s="159"/>
      <c r="U140" s="159"/>
      <c r="V140" s="159"/>
    </row>
    <row r="141" spans="2:22" s="34" customFormat="1" outlineLevel="1" x14ac:dyDescent="0.25">
      <c r="B141" s="74">
        <v>39</v>
      </c>
      <c r="C141" s="114" t="s">
        <v>441</v>
      </c>
      <c r="D141" s="104"/>
      <c r="F141" s="67" t="s">
        <v>758</v>
      </c>
      <c r="G141" s="104"/>
      <c r="H141" s="34">
        <v>-199.45</v>
      </c>
      <c r="I141" s="33">
        <v>-216.14</v>
      </c>
      <c r="J141" s="33">
        <v>0.36</v>
      </c>
      <c r="K141" s="35">
        <f t="shared" ref="K141:K146" si="43">H141/4.184</f>
        <v>-47.669694072657741</v>
      </c>
      <c r="L141" s="157">
        <f t="shared" ref="L141:L146" si="44">I141/4.184</f>
        <v>-51.658699808795404</v>
      </c>
      <c r="M141" s="157">
        <f t="shared" ref="M141:M146" si="45">J141/4.184</f>
        <v>8.6042065009560229E-2</v>
      </c>
      <c r="N141" s="159"/>
      <c r="O141" s="159"/>
      <c r="P141" s="159"/>
      <c r="Q141" s="159"/>
      <c r="R141" s="159"/>
      <c r="S141" s="159"/>
      <c r="T141" s="159"/>
      <c r="U141" s="159"/>
      <c r="V141" s="159"/>
    </row>
    <row r="142" spans="2:22" s="34" customFormat="1" outlineLevel="1" x14ac:dyDescent="0.25">
      <c r="B142" s="74">
        <v>40</v>
      </c>
      <c r="C142" s="114" t="s">
        <v>756</v>
      </c>
      <c r="D142" s="104"/>
      <c r="F142" s="193" t="s">
        <v>755</v>
      </c>
      <c r="G142" s="104"/>
      <c r="H142" s="34">
        <v>-231.38</v>
      </c>
      <c r="I142" s="33">
        <v>-255.22</v>
      </c>
      <c r="J142" s="33">
        <v>0.26</v>
      </c>
      <c r="K142" s="35">
        <f t="shared" si="43"/>
        <v>-55.301147227533455</v>
      </c>
      <c r="L142" s="157">
        <f t="shared" si="44"/>
        <v>-60.99904397705545</v>
      </c>
      <c r="M142" s="157">
        <f t="shared" si="45"/>
        <v>6.2141491395793495E-2</v>
      </c>
      <c r="N142" s="159"/>
      <c r="O142" s="159"/>
      <c r="P142" s="159"/>
      <c r="Q142" s="159"/>
      <c r="R142" s="159"/>
      <c r="S142" s="159"/>
      <c r="T142" s="159"/>
      <c r="U142" s="159"/>
      <c r="V142" s="159"/>
    </row>
    <row r="143" spans="2:22" s="34" customFormat="1" outlineLevel="1" x14ac:dyDescent="0.25">
      <c r="B143" s="74">
        <v>41</v>
      </c>
      <c r="C143" s="114" t="s">
        <v>757</v>
      </c>
      <c r="D143" s="104"/>
      <c r="F143" s="193"/>
      <c r="G143" s="104"/>
      <c r="H143" s="34">
        <v>-248.77</v>
      </c>
      <c r="I143" s="33">
        <v>-272.87</v>
      </c>
      <c r="J143" s="33">
        <v>0.36</v>
      </c>
      <c r="K143" s="35">
        <f t="shared" si="43"/>
        <v>-59.457456978967492</v>
      </c>
      <c r="L143" s="157">
        <f t="shared" si="44"/>
        <v>-65.217495219885279</v>
      </c>
      <c r="M143" s="157">
        <f t="shared" si="45"/>
        <v>8.6042065009560229E-2</v>
      </c>
      <c r="N143" s="159"/>
      <c r="O143" s="159"/>
      <c r="P143" s="159"/>
      <c r="Q143" s="159"/>
      <c r="R143" s="159"/>
      <c r="S143" s="159"/>
      <c r="T143" s="159"/>
      <c r="U143" s="159"/>
      <c r="V143" s="159"/>
    </row>
    <row r="144" spans="2:22" s="34" customFormat="1" outlineLevel="1" x14ac:dyDescent="0.25">
      <c r="B144" s="74">
        <v>42</v>
      </c>
      <c r="C144" s="114" t="s">
        <v>762</v>
      </c>
      <c r="D144" s="104"/>
      <c r="F144" s="67" t="s">
        <v>759</v>
      </c>
      <c r="G144" s="104"/>
      <c r="H144" s="34">
        <v>-309.88</v>
      </c>
      <c r="I144" s="33">
        <v>-326.44</v>
      </c>
      <c r="J144" s="33">
        <v>0.78</v>
      </c>
      <c r="K144" s="35">
        <f t="shared" si="43"/>
        <v>-74.063097514340342</v>
      </c>
      <c r="L144" s="157">
        <f t="shared" si="44"/>
        <v>-78.021032504780109</v>
      </c>
      <c r="M144" s="157">
        <f t="shared" si="45"/>
        <v>0.18642447418738051</v>
      </c>
      <c r="N144" s="159"/>
      <c r="O144" s="159"/>
      <c r="P144" s="159"/>
      <c r="Q144" s="159"/>
      <c r="R144" s="159"/>
      <c r="S144" s="159"/>
      <c r="T144" s="159"/>
      <c r="U144" s="159"/>
      <c r="V144" s="159"/>
    </row>
    <row r="145" spans="2:22" s="34" customFormat="1" outlineLevel="1" x14ac:dyDescent="0.25">
      <c r="B145" s="74">
        <v>43</v>
      </c>
      <c r="C145" s="114" t="s">
        <v>761</v>
      </c>
      <c r="D145" s="104"/>
      <c r="F145" s="67" t="s">
        <v>760</v>
      </c>
      <c r="G145" s="104"/>
      <c r="H145" s="34">
        <v>-795.63</v>
      </c>
      <c r="I145" s="33">
        <v>-817.77</v>
      </c>
      <c r="J145" s="33">
        <v>0.61</v>
      </c>
      <c r="K145" s="35">
        <f t="shared" si="43"/>
        <v>-190.16013384321224</v>
      </c>
      <c r="L145" s="157">
        <f t="shared" si="44"/>
        <v>-195.45172084130019</v>
      </c>
      <c r="M145" s="157">
        <f t="shared" si="45"/>
        <v>0.14579349904397704</v>
      </c>
      <c r="N145" s="159"/>
      <c r="O145" s="159"/>
      <c r="P145" s="159"/>
      <c r="Q145" s="159"/>
      <c r="R145" s="159"/>
      <c r="S145" s="159"/>
      <c r="T145" s="159"/>
      <c r="U145" s="159"/>
      <c r="V145" s="159"/>
    </row>
    <row r="146" spans="2:22" x14ac:dyDescent="0.25">
      <c r="B146" s="74">
        <v>44</v>
      </c>
      <c r="C146" s="116" t="s">
        <v>804</v>
      </c>
      <c r="F146" s="3" t="s">
        <v>805</v>
      </c>
      <c r="H146" s="34">
        <v>-19.16</v>
      </c>
      <c r="I146" s="33">
        <v>-36.96</v>
      </c>
      <c r="J146" s="33">
        <v>0.92</v>
      </c>
      <c r="K146" s="35">
        <f t="shared" si="43"/>
        <v>-4.5793499043977057</v>
      </c>
      <c r="L146" s="157">
        <f t="shared" si="44"/>
        <v>-8.8336520076481833</v>
      </c>
      <c r="M146" s="157">
        <f t="shared" si="45"/>
        <v>0.21988527724665391</v>
      </c>
    </row>
    <row r="147" spans="2:22" x14ac:dyDescent="0.25">
      <c r="H147" s="3"/>
      <c r="I147" s="5"/>
      <c r="J147" s="5"/>
      <c r="K147" s="5"/>
    </row>
    <row r="148" spans="2:22" x14ac:dyDescent="0.25">
      <c r="H148" s="3"/>
      <c r="I148" s="5"/>
      <c r="J148" s="5"/>
      <c r="K148" s="5"/>
    </row>
    <row r="149" spans="2:22" s="34" customFormat="1" outlineLevel="1" x14ac:dyDescent="0.25">
      <c r="B149" s="74">
        <v>45</v>
      </c>
      <c r="C149" s="116" t="s">
        <v>812</v>
      </c>
      <c r="D149" s="104"/>
      <c r="F149" s="69" t="s">
        <v>82</v>
      </c>
      <c r="G149" s="104"/>
      <c r="H149" s="34">
        <v>246.84399999999999</v>
      </c>
      <c r="I149" s="33">
        <v>249.22900000000001</v>
      </c>
      <c r="J149" s="33">
        <v>2.0999999999999999E-3</v>
      </c>
      <c r="K149" s="35">
        <f t="shared" ref="K149:K159" si="46">H149/4.184</f>
        <v>58.997131931166344</v>
      </c>
      <c r="L149" s="157">
        <f t="shared" ref="L149:L159" si="47">I149/4.184</f>
        <v>59.567160611854682</v>
      </c>
      <c r="M149" s="157">
        <f t="shared" ref="M149:M159" si="48">J149/4.184</f>
        <v>5.019120458891013E-4</v>
      </c>
      <c r="N149" s="159"/>
      <c r="O149" s="159"/>
      <c r="P149" s="159"/>
      <c r="Q149" s="159"/>
      <c r="R149" s="159"/>
      <c r="S149" s="159"/>
      <c r="T149" s="159"/>
      <c r="U149" s="159"/>
      <c r="V149" s="159"/>
    </row>
    <row r="150" spans="2:22" s="34" customFormat="1" outlineLevel="1" x14ac:dyDescent="0.25">
      <c r="B150" s="74">
        <v>46</v>
      </c>
      <c r="C150" s="116" t="s">
        <v>813</v>
      </c>
      <c r="D150" s="104"/>
      <c r="F150" s="67" t="s">
        <v>459</v>
      </c>
      <c r="G150" s="104"/>
      <c r="H150" s="34">
        <v>0</v>
      </c>
      <c r="I150" s="33">
        <v>0</v>
      </c>
      <c r="J150" s="33">
        <v>0</v>
      </c>
      <c r="K150" s="35">
        <f t="shared" si="46"/>
        <v>0</v>
      </c>
      <c r="L150" s="157">
        <f t="shared" si="47"/>
        <v>0</v>
      </c>
      <c r="M150" s="157">
        <f t="shared" si="48"/>
        <v>0</v>
      </c>
      <c r="N150" s="159"/>
      <c r="O150" s="159"/>
      <c r="P150" s="159"/>
      <c r="Q150" s="159"/>
      <c r="R150" s="159"/>
      <c r="S150" s="159"/>
      <c r="T150" s="159"/>
      <c r="U150" s="159"/>
      <c r="V150" s="159"/>
    </row>
    <row r="151" spans="2:22" s="34" customFormat="1" outlineLevel="1" x14ac:dyDescent="0.25">
      <c r="B151" s="74">
        <v>47</v>
      </c>
      <c r="C151" s="114" t="s">
        <v>432</v>
      </c>
      <c r="D151" s="104"/>
      <c r="F151" s="67" t="s">
        <v>769</v>
      </c>
      <c r="G151" s="104"/>
      <c r="H151" s="34">
        <v>144.39599999999999</v>
      </c>
      <c r="I151" s="33">
        <v>141.733</v>
      </c>
      <c r="J151" s="33">
        <v>3.9E-2</v>
      </c>
      <c r="K151" s="35">
        <f t="shared" si="46"/>
        <v>34.511472275334604</v>
      </c>
      <c r="L151" s="157">
        <f t="shared" si="47"/>
        <v>33.875</v>
      </c>
      <c r="M151" s="157">
        <f t="shared" si="48"/>
        <v>9.3212237093690253E-3</v>
      </c>
      <c r="N151" s="159"/>
      <c r="O151" s="159"/>
      <c r="P151" s="159"/>
      <c r="Q151" s="159"/>
      <c r="R151" s="159"/>
      <c r="S151" s="159"/>
      <c r="T151" s="159"/>
      <c r="U151" s="159"/>
      <c r="V151" s="159"/>
    </row>
    <row r="152" spans="2:22" s="34" customFormat="1" outlineLevel="1" x14ac:dyDescent="0.25">
      <c r="B152" s="74">
        <v>48</v>
      </c>
      <c r="C152" s="116" t="s">
        <v>412</v>
      </c>
      <c r="D152" s="104"/>
      <c r="F152" s="69" t="s">
        <v>802</v>
      </c>
      <c r="G152" s="104"/>
      <c r="H152" s="34">
        <v>37.25</v>
      </c>
      <c r="I152" s="33">
        <v>37.49</v>
      </c>
      <c r="J152" s="33">
        <v>2.7E-2</v>
      </c>
      <c r="K152" s="35">
        <f t="shared" si="46"/>
        <v>8.9029636711281075</v>
      </c>
      <c r="L152" s="157">
        <f t="shared" si="47"/>
        <v>8.9603250478011471</v>
      </c>
      <c r="M152" s="157">
        <f t="shared" si="48"/>
        <v>6.4531548757170171E-3</v>
      </c>
      <c r="N152" s="159"/>
      <c r="O152" s="159"/>
      <c r="P152" s="159"/>
      <c r="Q152" s="159"/>
      <c r="R152" s="159"/>
      <c r="S152" s="159"/>
      <c r="T152" s="159"/>
      <c r="U152" s="159"/>
      <c r="V152" s="159"/>
    </row>
    <row r="153" spans="2:22" s="6" customFormat="1" outlineLevel="1" x14ac:dyDescent="0.25">
      <c r="B153" s="74">
        <v>49</v>
      </c>
      <c r="C153" s="116" t="s">
        <v>420</v>
      </c>
      <c r="D153" s="104"/>
      <c r="E153" s="34"/>
      <c r="F153" s="67" t="s">
        <v>421</v>
      </c>
      <c r="G153" s="104"/>
      <c r="H153" s="34">
        <v>15.16</v>
      </c>
      <c r="I153" s="33">
        <v>12.26</v>
      </c>
      <c r="J153" s="33">
        <v>0.16</v>
      </c>
      <c r="K153" s="35">
        <f t="shared" si="46"/>
        <v>3.6233269598470361</v>
      </c>
      <c r="L153" s="157">
        <f t="shared" si="47"/>
        <v>2.9302103250478009</v>
      </c>
      <c r="M153" s="157">
        <f t="shared" si="48"/>
        <v>3.8240917782026769E-2</v>
      </c>
      <c r="N153" s="159"/>
      <c r="O153" s="159"/>
      <c r="P153" s="159"/>
      <c r="Q153" s="159"/>
      <c r="R153" s="159"/>
      <c r="S153" s="159"/>
      <c r="T153" s="159"/>
      <c r="U153" s="159"/>
      <c r="V153" s="158"/>
    </row>
    <row r="154" spans="2:22" s="6" customFormat="1" outlineLevel="1" x14ac:dyDescent="0.25">
      <c r="B154" s="74">
        <v>50</v>
      </c>
      <c r="C154" s="114" t="s">
        <v>451</v>
      </c>
      <c r="D154" s="104"/>
      <c r="E154" s="34"/>
      <c r="F154" s="67" t="s">
        <v>767</v>
      </c>
      <c r="G154" s="104"/>
      <c r="H154" s="34">
        <v>26.29</v>
      </c>
      <c r="I154" s="33">
        <v>23.01</v>
      </c>
      <c r="J154" s="33">
        <v>0.19</v>
      </c>
      <c r="K154" s="35">
        <f t="shared" si="46"/>
        <v>6.2834608030592731</v>
      </c>
      <c r="L154" s="157">
        <f t="shared" si="47"/>
        <v>5.4995219885277251</v>
      </c>
      <c r="M154" s="157">
        <f t="shared" si="48"/>
        <v>4.5411089866156787E-2</v>
      </c>
      <c r="N154" s="159"/>
      <c r="O154" s="159"/>
      <c r="P154" s="159"/>
      <c r="Q154" s="159"/>
      <c r="R154" s="159"/>
      <c r="S154" s="159"/>
      <c r="T154" s="159"/>
      <c r="U154" s="159"/>
      <c r="V154" s="158"/>
    </row>
    <row r="155" spans="2:22" s="34" customFormat="1" outlineLevel="1" x14ac:dyDescent="0.25">
      <c r="B155" s="74">
        <v>51</v>
      </c>
      <c r="C155" s="116" t="s">
        <v>814</v>
      </c>
      <c r="D155" s="104"/>
      <c r="F155" s="69" t="s">
        <v>81</v>
      </c>
      <c r="G155" s="104"/>
      <c r="H155" s="34">
        <v>-238.93100000000001</v>
      </c>
      <c r="I155" s="33">
        <v>-241.834</v>
      </c>
      <c r="J155" s="33">
        <v>2.7E-2</v>
      </c>
      <c r="K155" s="35">
        <f t="shared" si="46"/>
        <v>-57.10587954110899</v>
      </c>
      <c r="L155" s="157">
        <f t="shared" si="47"/>
        <v>-57.799713193116631</v>
      </c>
      <c r="M155" s="157">
        <f t="shared" si="48"/>
        <v>6.4531548757170171E-3</v>
      </c>
      <c r="N155" s="159"/>
      <c r="O155" s="159"/>
      <c r="P155" s="159"/>
      <c r="Q155" s="159"/>
      <c r="R155" s="159"/>
      <c r="S155" s="159"/>
      <c r="T155" s="159"/>
      <c r="U155" s="159"/>
      <c r="V155" s="159"/>
    </row>
    <row r="156" spans="2:22" s="34" customFormat="1" outlineLevel="1" x14ac:dyDescent="0.25">
      <c r="B156" s="74">
        <v>52</v>
      </c>
      <c r="C156" s="116" t="s">
        <v>815</v>
      </c>
      <c r="D156" s="104"/>
      <c r="F156" s="69" t="s">
        <v>424</v>
      </c>
      <c r="G156" s="104"/>
      <c r="H156" s="34">
        <v>-129.45099999999999</v>
      </c>
      <c r="I156" s="33">
        <v>-135.458</v>
      </c>
      <c r="J156" s="33">
        <v>6.4000000000000001E-2</v>
      </c>
      <c r="K156" s="35">
        <f t="shared" si="46"/>
        <v>-30.939531548757166</v>
      </c>
      <c r="L156" s="157">
        <f t="shared" si="47"/>
        <v>-32.375239005736134</v>
      </c>
      <c r="M156" s="157">
        <f t="shared" si="48"/>
        <v>1.5296367112810707E-2</v>
      </c>
      <c r="N156" s="159"/>
      <c r="O156" s="159"/>
      <c r="P156" s="159"/>
      <c r="Q156" s="159"/>
      <c r="R156" s="159"/>
      <c r="S156" s="159"/>
      <c r="T156" s="159"/>
      <c r="U156" s="159"/>
      <c r="V156" s="159"/>
    </row>
    <row r="157" spans="2:22" s="34" customFormat="1" outlineLevel="1" x14ac:dyDescent="0.25">
      <c r="B157" s="74">
        <v>53</v>
      </c>
      <c r="C157" s="114" t="s">
        <v>175</v>
      </c>
      <c r="D157" s="104"/>
      <c r="F157" s="67" t="s">
        <v>768</v>
      </c>
      <c r="G157" s="104"/>
      <c r="H157" s="34">
        <v>-81.430000000000007</v>
      </c>
      <c r="I157" s="33">
        <v>-90.27</v>
      </c>
      <c r="J157" s="33">
        <v>0.7</v>
      </c>
      <c r="K157" s="35">
        <f t="shared" si="46"/>
        <v>-19.462237093690248</v>
      </c>
      <c r="L157" s="157">
        <f t="shared" si="47"/>
        <v>-21.575047801147225</v>
      </c>
      <c r="M157" s="157">
        <f t="shared" si="48"/>
        <v>0.1673040152963671</v>
      </c>
      <c r="N157" s="159"/>
      <c r="O157" s="159"/>
      <c r="P157" s="159"/>
      <c r="Q157" s="159"/>
      <c r="R157" s="159"/>
      <c r="S157" s="159"/>
      <c r="T157" s="159"/>
      <c r="U157" s="159"/>
      <c r="V157" s="159"/>
    </row>
    <row r="158" spans="2:22" s="34" customFormat="1" outlineLevel="1" x14ac:dyDescent="0.25">
      <c r="B158" s="74">
        <v>54</v>
      </c>
      <c r="C158" s="116" t="s">
        <v>806</v>
      </c>
      <c r="D158" s="104"/>
      <c r="F158" s="69" t="s">
        <v>807</v>
      </c>
      <c r="G158" s="104"/>
      <c r="H158" s="34">
        <v>-491.08199999999999</v>
      </c>
      <c r="I158" s="33">
        <v>-499.12099999999998</v>
      </c>
      <c r="J158" s="33">
        <v>5.2999999999999999E-2</v>
      </c>
      <c r="K158" s="35">
        <f t="shared" si="46"/>
        <v>-117.37141491395793</v>
      </c>
      <c r="L158" s="157">
        <f t="shared" si="47"/>
        <v>-119.29278202676863</v>
      </c>
      <c r="M158" s="157">
        <f t="shared" si="48"/>
        <v>1.2667304015296366E-2</v>
      </c>
      <c r="N158" s="159"/>
      <c r="O158" s="159"/>
      <c r="P158" s="159"/>
      <c r="Q158" s="159"/>
      <c r="R158" s="159"/>
      <c r="S158" s="159"/>
      <c r="T158" s="159"/>
      <c r="U158" s="159"/>
      <c r="V158" s="159"/>
    </row>
    <row r="159" spans="2:22" s="34" customFormat="1" outlineLevel="1" x14ac:dyDescent="0.25">
      <c r="B159" s="74">
        <v>55</v>
      </c>
      <c r="C159" s="116" t="s">
        <v>808</v>
      </c>
      <c r="D159" s="104"/>
      <c r="F159" s="69" t="s">
        <v>809</v>
      </c>
      <c r="G159" s="104"/>
      <c r="H159" s="34">
        <v>-762.73</v>
      </c>
      <c r="I159" s="33">
        <v>-776.83</v>
      </c>
      <c r="J159" s="33">
        <v>0.21</v>
      </c>
      <c r="K159" s="35">
        <f t="shared" si="46"/>
        <v>-182.29684512428298</v>
      </c>
      <c r="L159" s="157">
        <f t="shared" si="47"/>
        <v>-185.6668260038241</v>
      </c>
      <c r="M159" s="157">
        <f t="shared" si="48"/>
        <v>5.0191204588910132E-2</v>
      </c>
      <c r="N159" s="159"/>
      <c r="O159" s="159"/>
      <c r="P159" s="159"/>
      <c r="Q159" s="159"/>
      <c r="R159" s="159"/>
      <c r="S159" s="159"/>
      <c r="T159" s="159"/>
      <c r="U159" s="159"/>
      <c r="V159" s="159"/>
    </row>
    <row r="160" spans="2:22" s="34" customFormat="1" outlineLevel="1" x14ac:dyDescent="0.25">
      <c r="B160" s="6">
        <v>54</v>
      </c>
      <c r="C160" s="116"/>
      <c r="D160" s="104"/>
      <c r="F160" s="69"/>
      <c r="G160" s="104"/>
      <c r="I160" s="33"/>
      <c r="J160" s="33"/>
      <c r="K160" s="33"/>
      <c r="L160" s="141"/>
      <c r="M160" s="141"/>
      <c r="N160" s="159"/>
      <c r="O160" s="159"/>
      <c r="P160" s="159"/>
      <c r="Q160" s="159"/>
      <c r="R160" s="159"/>
      <c r="S160" s="159"/>
      <c r="T160" s="159"/>
      <c r="U160" s="159"/>
      <c r="V160" s="159"/>
    </row>
    <row r="161" spans="2:22" s="34" customFormat="1" outlineLevel="1" x14ac:dyDescent="0.25">
      <c r="B161" s="6">
        <v>55</v>
      </c>
      <c r="C161" s="116"/>
      <c r="D161" s="104"/>
      <c r="F161" s="69"/>
      <c r="G161" s="104"/>
      <c r="I161" s="33"/>
      <c r="J161" s="33"/>
      <c r="K161" s="33"/>
      <c r="L161" s="141"/>
      <c r="M161" s="141"/>
      <c r="N161" s="159"/>
      <c r="O161" s="159"/>
      <c r="P161" s="159"/>
      <c r="Q161" s="159"/>
      <c r="R161" s="159"/>
      <c r="S161" s="159"/>
      <c r="T161" s="159"/>
      <c r="U161" s="159"/>
      <c r="V161" s="159"/>
    </row>
    <row r="162" spans="2:22" s="34" customFormat="1" outlineLevel="1" x14ac:dyDescent="0.25">
      <c r="B162" s="6">
        <v>56</v>
      </c>
      <c r="C162" s="116"/>
      <c r="D162" s="104"/>
      <c r="F162" s="69"/>
      <c r="G162" s="104"/>
      <c r="I162" s="33"/>
      <c r="J162" s="33"/>
      <c r="K162" s="33"/>
      <c r="L162" s="141"/>
      <c r="M162" s="141"/>
      <c r="N162" s="159"/>
      <c r="O162" s="159"/>
      <c r="P162" s="159"/>
      <c r="Q162" s="159"/>
      <c r="R162" s="159"/>
      <c r="S162" s="159"/>
      <c r="T162" s="159"/>
      <c r="U162" s="159"/>
      <c r="V162" s="159"/>
    </row>
    <row r="163" spans="2:22" s="34" customFormat="1" outlineLevel="1" x14ac:dyDescent="0.25">
      <c r="B163" s="6">
        <v>57</v>
      </c>
      <c r="C163" s="116"/>
      <c r="D163" s="104"/>
      <c r="F163" s="69"/>
      <c r="G163" s="104"/>
      <c r="I163" s="33"/>
      <c r="J163" s="33"/>
      <c r="K163" s="33"/>
      <c r="L163" s="141"/>
      <c r="M163" s="141"/>
      <c r="N163" s="159"/>
      <c r="O163" s="159"/>
      <c r="P163" s="159"/>
      <c r="Q163" s="159"/>
      <c r="R163" s="159"/>
      <c r="S163" s="159"/>
      <c r="T163" s="159"/>
      <c r="U163" s="159"/>
      <c r="V163" s="159"/>
    </row>
    <row r="164" spans="2:22" s="34" customFormat="1" outlineLevel="1" x14ac:dyDescent="0.25">
      <c r="B164" s="6">
        <v>58</v>
      </c>
      <c r="C164" s="116"/>
      <c r="D164" s="104"/>
      <c r="F164" s="69"/>
      <c r="G164" s="104"/>
      <c r="I164" s="33"/>
      <c r="J164" s="33"/>
      <c r="K164" s="33"/>
      <c r="L164" s="141"/>
      <c r="M164" s="141"/>
      <c r="N164" s="159"/>
      <c r="O164" s="159"/>
      <c r="P164" s="159"/>
      <c r="Q164" s="159"/>
      <c r="R164" s="159"/>
      <c r="S164" s="159"/>
      <c r="T164" s="159"/>
      <c r="U164" s="159"/>
      <c r="V164" s="159"/>
    </row>
    <row r="165" spans="2:22" s="34" customFormat="1" outlineLevel="1" x14ac:dyDescent="0.25">
      <c r="B165" s="6">
        <v>59</v>
      </c>
      <c r="C165" s="116"/>
      <c r="D165" s="104"/>
      <c r="F165" s="69"/>
      <c r="G165" s="104"/>
      <c r="I165" s="33"/>
      <c r="J165" s="33"/>
      <c r="K165" s="33"/>
      <c r="L165" s="141"/>
      <c r="M165" s="141"/>
      <c r="N165" s="159"/>
      <c r="O165" s="159"/>
      <c r="P165" s="159"/>
      <c r="Q165" s="159"/>
      <c r="R165" s="159"/>
      <c r="S165" s="159"/>
      <c r="T165" s="159"/>
      <c r="U165" s="159"/>
      <c r="V165" s="159"/>
    </row>
    <row r="166" spans="2:22" s="34" customFormat="1" outlineLevel="1" x14ac:dyDescent="0.25">
      <c r="B166" s="6">
        <v>60</v>
      </c>
      <c r="C166" s="116"/>
      <c r="D166" s="104"/>
      <c r="F166" s="69"/>
      <c r="G166" s="104"/>
      <c r="I166" s="33"/>
      <c r="J166" s="33"/>
      <c r="K166" s="33"/>
      <c r="L166" s="141"/>
      <c r="M166" s="141"/>
      <c r="N166" s="159"/>
      <c r="O166" s="159"/>
      <c r="P166" s="159"/>
      <c r="Q166" s="159"/>
      <c r="R166" s="159"/>
      <c r="S166" s="159"/>
      <c r="T166" s="159"/>
      <c r="U166" s="159"/>
      <c r="V166" s="159"/>
    </row>
    <row r="167" spans="2:22" s="34" customFormat="1" outlineLevel="1" x14ac:dyDescent="0.25">
      <c r="B167" s="68"/>
      <c r="C167" s="116"/>
      <c r="D167" s="104"/>
      <c r="G167" s="104"/>
      <c r="I167" s="33"/>
      <c r="J167" s="33"/>
      <c r="K167" s="33"/>
      <c r="L167" s="141"/>
      <c r="M167" s="141"/>
      <c r="N167" s="159"/>
      <c r="O167" s="159"/>
      <c r="P167" s="159"/>
      <c r="Q167" s="159"/>
      <c r="R167" s="159"/>
      <c r="S167" s="159"/>
      <c r="T167" s="159"/>
      <c r="U167" s="159"/>
      <c r="V167" s="159"/>
    </row>
    <row r="168" spans="2:22" s="61" customFormat="1" outlineLevel="1" x14ac:dyDescent="0.25">
      <c r="B168" s="192">
        <v>7</v>
      </c>
      <c r="C168" s="117" t="s">
        <v>105</v>
      </c>
      <c r="D168" s="117"/>
      <c r="F168" s="61" t="s">
        <v>171</v>
      </c>
      <c r="G168" s="117" t="s">
        <v>172</v>
      </c>
      <c r="I168" s="62">
        <v>-126.04</v>
      </c>
      <c r="J168" s="62">
        <v>0.53</v>
      </c>
      <c r="K168" s="62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17"/>
    </row>
    <row r="169" spans="2:22" s="61" customFormat="1" outlineLevel="1" x14ac:dyDescent="0.25">
      <c r="B169" s="192"/>
      <c r="C169" s="117" t="s">
        <v>105</v>
      </c>
      <c r="D169" s="117"/>
      <c r="F169" s="61" t="s">
        <v>173</v>
      </c>
      <c r="G169" s="117" t="s">
        <v>172</v>
      </c>
      <c r="I169" s="62">
        <v>-124.2</v>
      </c>
      <c r="J169" s="62">
        <v>0.54</v>
      </c>
      <c r="K169" s="62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17"/>
    </row>
    <row r="170" spans="2:22" s="61" customFormat="1" outlineLevel="1" x14ac:dyDescent="0.25">
      <c r="B170" s="192"/>
      <c r="C170" s="117" t="s">
        <v>105</v>
      </c>
      <c r="D170" s="117"/>
      <c r="F170" s="61" t="s">
        <v>174</v>
      </c>
      <c r="G170" s="117" t="s">
        <v>172</v>
      </c>
      <c r="I170" s="62" t="s">
        <v>106</v>
      </c>
      <c r="J170" s="62" t="s">
        <v>107</v>
      </c>
      <c r="K170" s="62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17"/>
    </row>
    <row r="171" spans="2:22" s="61" customFormat="1" outlineLevel="1" x14ac:dyDescent="0.25">
      <c r="B171" s="192">
        <v>8</v>
      </c>
      <c r="C171" s="117" t="s">
        <v>108</v>
      </c>
      <c r="D171" s="117"/>
      <c r="F171" s="61" t="s">
        <v>181</v>
      </c>
      <c r="G171" s="117" t="s">
        <v>182</v>
      </c>
      <c r="I171" s="62">
        <v>-90</v>
      </c>
      <c r="J171" s="62">
        <v>0.78</v>
      </c>
      <c r="K171" s="62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17"/>
    </row>
    <row r="172" spans="2:22" s="61" customFormat="1" outlineLevel="1" x14ac:dyDescent="0.25">
      <c r="B172" s="192"/>
      <c r="C172" s="117" t="s">
        <v>175</v>
      </c>
      <c r="D172" s="117"/>
      <c r="F172" s="61" t="s">
        <v>178</v>
      </c>
      <c r="G172" s="117" t="s">
        <v>176</v>
      </c>
      <c r="I172" s="62" t="s">
        <v>109</v>
      </c>
      <c r="J172" s="62" t="s">
        <v>110</v>
      </c>
      <c r="K172" s="62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17"/>
    </row>
    <row r="173" spans="2:22" s="61" customFormat="1" outlineLevel="1" x14ac:dyDescent="0.25">
      <c r="B173" s="192"/>
      <c r="C173" s="117" t="s">
        <v>177</v>
      </c>
      <c r="D173" s="117"/>
      <c r="F173" s="61" t="s">
        <v>179</v>
      </c>
      <c r="G173" s="117" t="s">
        <v>180</v>
      </c>
      <c r="I173" s="62">
        <v>-80.5</v>
      </c>
      <c r="J173" s="62">
        <v>0.83</v>
      </c>
      <c r="K173" s="62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17"/>
    </row>
    <row r="174" spans="2:22" s="61" customFormat="1" outlineLevel="1" x14ac:dyDescent="0.25">
      <c r="B174" s="192">
        <v>9</v>
      </c>
      <c r="C174" s="117" t="s">
        <v>183</v>
      </c>
      <c r="D174" s="117"/>
      <c r="F174" s="61" t="s">
        <v>185</v>
      </c>
      <c r="G174" s="117" t="s">
        <v>184</v>
      </c>
      <c r="I174" s="62">
        <v>-55.5</v>
      </c>
      <c r="J174" s="62">
        <v>0.62</v>
      </c>
      <c r="K174" s="62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17"/>
    </row>
    <row r="175" spans="2:22" s="61" customFormat="1" outlineLevel="1" x14ac:dyDescent="0.25">
      <c r="B175" s="192"/>
      <c r="C175" s="117" t="s">
        <v>283</v>
      </c>
      <c r="D175" s="117"/>
      <c r="F175" s="61" t="s">
        <v>168</v>
      </c>
      <c r="G175" s="117" t="s">
        <v>184</v>
      </c>
      <c r="I175" s="62">
        <v>-55.5</v>
      </c>
      <c r="J175" s="62">
        <v>0.62</v>
      </c>
      <c r="K175" s="62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17"/>
    </row>
    <row r="176" spans="2:22" s="61" customFormat="1" outlineLevel="1" x14ac:dyDescent="0.25">
      <c r="B176" s="192"/>
      <c r="C176" s="117" t="s">
        <v>284</v>
      </c>
      <c r="D176" s="117"/>
      <c r="F176" s="61" t="s">
        <v>185</v>
      </c>
      <c r="G176" s="117" t="s">
        <v>184</v>
      </c>
      <c r="I176" s="62" t="s">
        <v>111</v>
      </c>
      <c r="J176" s="62" t="s">
        <v>112</v>
      </c>
      <c r="K176" s="62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17"/>
    </row>
    <row r="177" spans="2:22" s="61" customFormat="1" outlineLevel="1" x14ac:dyDescent="0.25">
      <c r="B177" s="192">
        <v>10</v>
      </c>
      <c r="C177" s="117" t="s">
        <v>282</v>
      </c>
      <c r="D177" s="117"/>
      <c r="F177" s="61" t="s">
        <v>168</v>
      </c>
      <c r="G177" s="117" t="s">
        <v>186</v>
      </c>
      <c r="I177" s="62">
        <v>-26.01</v>
      </c>
      <c r="J177" s="62">
        <v>0.61</v>
      </c>
      <c r="K177" s="62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17"/>
    </row>
    <row r="178" spans="2:22" s="61" customFormat="1" outlineLevel="1" x14ac:dyDescent="0.25">
      <c r="B178" s="192"/>
      <c r="C178" s="117" t="s">
        <v>285</v>
      </c>
      <c r="D178" s="117"/>
      <c r="F178" s="61" t="s">
        <v>168</v>
      </c>
      <c r="G178" s="117" t="s">
        <v>186</v>
      </c>
      <c r="I178" s="62">
        <v>-26.01</v>
      </c>
      <c r="J178" s="62">
        <v>0.61</v>
      </c>
      <c r="K178" s="62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17"/>
    </row>
    <row r="179" spans="2:22" s="61" customFormat="1" outlineLevel="1" x14ac:dyDescent="0.25">
      <c r="B179" s="192"/>
      <c r="C179" s="117" t="s">
        <v>286</v>
      </c>
      <c r="D179" s="117"/>
      <c r="F179" s="61" t="s">
        <v>185</v>
      </c>
      <c r="G179" s="117" t="s">
        <v>186</v>
      </c>
      <c r="I179" s="62" t="s">
        <v>119</v>
      </c>
      <c r="J179" s="62">
        <v>0.86</v>
      </c>
      <c r="K179" s="62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17"/>
    </row>
    <row r="180" spans="2:22" s="61" customFormat="1" outlineLevel="1" x14ac:dyDescent="0.25">
      <c r="B180" s="63">
        <v>11</v>
      </c>
      <c r="C180" s="117" t="s">
        <v>113</v>
      </c>
      <c r="D180" s="117"/>
      <c r="F180" s="61" t="s">
        <v>114</v>
      </c>
      <c r="G180" s="117" t="s">
        <v>187</v>
      </c>
      <c r="I180" s="62">
        <v>177.99</v>
      </c>
      <c r="J180" s="62" t="s">
        <v>115</v>
      </c>
      <c r="K180" s="62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17"/>
    </row>
    <row r="181" spans="2:22" s="61" customFormat="1" outlineLevel="1" x14ac:dyDescent="0.25">
      <c r="B181" s="192">
        <v>12</v>
      </c>
      <c r="C181" s="117" t="s">
        <v>116</v>
      </c>
      <c r="D181" s="117"/>
      <c r="F181" s="61" t="s">
        <v>201</v>
      </c>
      <c r="G181" s="117" t="s">
        <v>188</v>
      </c>
      <c r="I181" s="62">
        <v>-392.55</v>
      </c>
      <c r="J181" s="62">
        <v>0.96</v>
      </c>
      <c r="K181" s="62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17"/>
    </row>
    <row r="182" spans="2:22" s="61" customFormat="1" outlineLevel="1" x14ac:dyDescent="0.25">
      <c r="B182" s="192"/>
      <c r="C182" s="117" t="s">
        <v>116</v>
      </c>
      <c r="D182" s="117"/>
      <c r="F182" s="61" t="s">
        <v>202</v>
      </c>
      <c r="G182" s="117" t="s">
        <v>188</v>
      </c>
      <c r="I182" s="62" t="s">
        <v>117</v>
      </c>
      <c r="J182" s="62" t="s">
        <v>118</v>
      </c>
      <c r="K182" s="62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17"/>
    </row>
    <row r="183" spans="2:22" s="61" customFormat="1" outlineLevel="1" x14ac:dyDescent="0.25">
      <c r="B183" s="192"/>
      <c r="C183" s="117" t="s">
        <v>116</v>
      </c>
      <c r="D183" s="117"/>
      <c r="F183" s="61" t="s">
        <v>203</v>
      </c>
      <c r="G183" s="117" t="s">
        <v>188</v>
      </c>
      <c r="I183" s="62" t="s">
        <v>120</v>
      </c>
      <c r="J183" s="62">
        <v>1</v>
      </c>
      <c r="K183" s="62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17"/>
    </row>
    <row r="184" spans="2:22" s="61" customFormat="1" outlineLevel="1" x14ac:dyDescent="0.25">
      <c r="B184" s="63">
        <v>13</v>
      </c>
      <c r="C184" s="117" t="s">
        <v>121</v>
      </c>
      <c r="D184" s="117"/>
      <c r="F184" s="61" t="s">
        <v>200</v>
      </c>
      <c r="G184" s="117" t="s">
        <v>167</v>
      </c>
      <c r="I184" s="62">
        <v>15.64</v>
      </c>
      <c r="J184" s="62">
        <v>0.77</v>
      </c>
      <c r="K184" s="62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17"/>
    </row>
    <row r="185" spans="2:22" s="61" customFormat="1" outlineLevel="1" x14ac:dyDescent="0.25">
      <c r="B185" s="192">
        <v>14</v>
      </c>
      <c r="C185" s="117" t="s">
        <v>122</v>
      </c>
      <c r="D185" s="117"/>
      <c r="F185" s="61" t="s">
        <v>198</v>
      </c>
      <c r="G185" s="117" t="s">
        <v>189</v>
      </c>
      <c r="I185" s="62">
        <v>-48.56</v>
      </c>
      <c r="J185" s="62">
        <v>0.15</v>
      </c>
      <c r="K185" s="62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17"/>
    </row>
    <row r="186" spans="2:22" s="61" customFormat="1" outlineLevel="1" x14ac:dyDescent="0.25">
      <c r="B186" s="192"/>
      <c r="C186" s="117" t="s">
        <v>122</v>
      </c>
      <c r="D186" s="117"/>
      <c r="F186" s="61" t="s">
        <v>238</v>
      </c>
      <c r="G186" s="117" t="s">
        <v>189</v>
      </c>
      <c r="I186" s="62">
        <v>-48.56</v>
      </c>
      <c r="J186" s="62">
        <v>0.15</v>
      </c>
      <c r="K186" s="62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17"/>
    </row>
    <row r="187" spans="2:22" s="61" customFormat="1" outlineLevel="1" x14ac:dyDescent="0.25">
      <c r="B187" s="192"/>
      <c r="C187" s="117" t="s">
        <v>122</v>
      </c>
      <c r="D187" s="117"/>
      <c r="F187" s="61" t="s">
        <v>199</v>
      </c>
      <c r="G187" s="117" t="s">
        <v>189</v>
      </c>
      <c r="I187" s="62">
        <v>-179.6</v>
      </c>
      <c r="J187" s="62">
        <v>1.3</v>
      </c>
      <c r="K187" s="62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17"/>
    </row>
    <row r="188" spans="2:22" s="61" customFormat="1" outlineLevel="1" x14ac:dyDescent="0.25">
      <c r="B188" s="192">
        <v>15</v>
      </c>
      <c r="C188" s="117" t="s">
        <v>194</v>
      </c>
      <c r="D188" s="117"/>
      <c r="F188" s="61" t="s">
        <v>193</v>
      </c>
      <c r="G188" s="117" t="s">
        <v>190</v>
      </c>
      <c r="I188" s="62">
        <v>379</v>
      </c>
      <c r="J188" s="62">
        <v>1.2</v>
      </c>
      <c r="K188" s="62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17"/>
    </row>
    <row r="189" spans="2:22" s="61" customFormat="1" outlineLevel="1" x14ac:dyDescent="0.25">
      <c r="B189" s="192"/>
      <c r="C189" s="117" t="s">
        <v>194</v>
      </c>
      <c r="D189" s="117"/>
      <c r="F189" s="61" t="s">
        <v>191</v>
      </c>
      <c r="G189" s="117" t="s">
        <v>190</v>
      </c>
      <c r="I189" s="62">
        <v>457.9</v>
      </c>
      <c r="J189" s="62">
        <v>1.3</v>
      </c>
      <c r="K189" s="62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17"/>
    </row>
    <row r="190" spans="2:22" s="61" customFormat="1" outlineLevel="1" x14ac:dyDescent="0.25">
      <c r="B190" s="192"/>
      <c r="C190" s="117" t="s">
        <v>194</v>
      </c>
      <c r="D190" s="117"/>
      <c r="F190" s="61" t="s">
        <v>192</v>
      </c>
      <c r="G190" s="117" t="s">
        <v>190</v>
      </c>
      <c r="I190" s="62">
        <v>379</v>
      </c>
      <c r="J190" s="62">
        <v>1.2</v>
      </c>
      <c r="K190" s="62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17"/>
    </row>
    <row r="191" spans="2:22" s="61" customFormat="1" outlineLevel="1" x14ac:dyDescent="0.25">
      <c r="B191" s="63">
        <v>16</v>
      </c>
      <c r="C191" s="117" t="s">
        <v>195</v>
      </c>
      <c r="D191" s="117"/>
      <c r="F191" s="61" t="s">
        <v>197</v>
      </c>
      <c r="G191" s="117" t="s">
        <v>196</v>
      </c>
      <c r="I191" s="62" t="s">
        <v>123</v>
      </c>
      <c r="J191" s="62">
        <v>0.44</v>
      </c>
      <c r="K191" s="62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17"/>
    </row>
    <row r="192" spans="2:22" s="61" customFormat="1" outlineLevel="1" x14ac:dyDescent="0.25">
      <c r="B192" s="63">
        <v>17</v>
      </c>
      <c r="C192" s="117" t="s">
        <v>287</v>
      </c>
      <c r="D192" s="117"/>
      <c r="F192" s="61" t="s">
        <v>124</v>
      </c>
      <c r="G192" s="117" t="s">
        <v>225</v>
      </c>
      <c r="I192" s="62" t="s">
        <v>125</v>
      </c>
      <c r="J192" s="62">
        <v>1.2</v>
      </c>
      <c r="K192" s="62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17"/>
    </row>
    <row r="193" spans="2:22" s="61" customFormat="1" outlineLevel="1" x14ac:dyDescent="0.25">
      <c r="B193" s="192">
        <v>18</v>
      </c>
      <c r="C193" s="117" t="s">
        <v>226</v>
      </c>
      <c r="D193" s="117"/>
      <c r="F193" s="61" t="s">
        <v>228</v>
      </c>
      <c r="G193" s="117" t="s">
        <v>227</v>
      </c>
      <c r="I193" s="62">
        <v>-122.96</v>
      </c>
      <c r="J193" s="62">
        <v>0.87</v>
      </c>
      <c r="K193" s="62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17"/>
    </row>
    <row r="194" spans="2:22" s="61" customFormat="1" outlineLevel="1" x14ac:dyDescent="0.25">
      <c r="B194" s="192"/>
      <c r="C194" s="117" t="s">
        <v>261</v>
      </c>
      <c r="D194" s="117"/>
      <c r="F194" s="61" t="s">
        <v>228</v>
      </c>
      <c r="G194" s="117" t="s">
        <v>227</v>
      </c>
      <c r="I194" s="62">
        <v>-118.67</v>
      </c>
      <c r="J194" s="62">
        <v>0.9</v>
      </c>
      <c r="K194" s="62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17"/>
    </row>
    <row r="195" spans="2:22" s="61" customFormat="1" outlineLevel="1" x14ac:dyDescent="0.25">
      <c r="B195" s="192"/>
      <c r="C195" s="117" t="s">
        <v>262</v>
      </c>
      <c r="D195" s="117"/>
      <c r="F195" s="61" t="s">
        <v>228</v>
      </c>
      <c r="G195" s="117" t="s">
        <v>227</v>
      </c>
      <c r="I195" s="62" t="s">
        <v>126</v>
      </c>
      <c r="J195" s="62" t="s">
        <v>112</v>
      </c>
      <c r="K195" s="62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17"/>
    </row>
    <row r="196" spans="2:22" s="61" customFormat="1" outlineLevel="1" x14ac:dyDescent="0.25">
      <c r="B196" s="192">
        <v>19</v>
      </c>
      <c r="C196" s="117" t="s">
        <v>229</v>
      </c>
      <c r="D196" s="117"/>
      <c r="F196" s="61" t="s">
        <v>231</v>
      </c>
      <c r="G196" s="117" t="s">
        <v>230</v>
      </c>
      <c r="I196" s="62">
        <v>-432.84</v>
      </c>
      <c r="J196" s="62">
        <v>0.62</v>
      </c>
      <c r="K196" s="62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17"/>
    </row>
    <row r="197" spans="2:22" s="61" customFormat="1" outlineLevel="1" x14ac:dyDescent="0.25">
      <c r="B197" s="192"/>
      <c r="C197" s="117" t="s">
        <v>263</v>
      </c>
      <c r="D197" s="117"/>
      <c r="F197" s="61" t="s">
        <v>231</v>
      </c>
      <c r="G197" s="117" t="s">
        <v>230</v>
      </c>
      <c r="I197" s="62">
        <v>-411.4</v>
      </c>
      <c r="J197" s="62">
        <v>1.2</v>
      </c>
      <c r="K197" s="62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17"/>
    </row>
    <row r="198" spans="2:22" s="61" customFormat="1" ht="17.25" customHeight="1" outlineLevel="1" x14ac:dyDescent="0.25">
      <c r="B198" s="192"/>
      <c r="C198" s="117" t="s">
        <v>264</v>
      </c>
      <c r="D198" s="117"/>
      <c r="F198" s="61" t="s">
        <v>231</v>
      </c>
      <c r="G198" s="117" t="s">
        <v>230</v>
      </c>
      <c r="I198" s="62" t="s">
        <v>127</v>
      </c>
      <c r="J198" s="62" t="s">
        <v>128</v>
      </c>
      <c r="K198" s="62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17"/>
    </row>
    <row r="199" spans="2:22" s="61" customFormat="1" ht="17.25" customHeight="1" outlineLevel="1" x14ac:dyDescent="0.25">
      <c r="B199" s="63">
        <v>20</v>
      </c>
      <c r="C199" s="117" t="s">
        <v>232</v>
      </c>
      <c r="D199" s="117"/>
      <c r="F199" s="61" t="s">
        <v>233</v>
      </c>
      <c r="G199" s="117" t="s">
        <v>234</v>
      </c>
      <c r="I199" s="62" t="s">
        <v>129</v>
      </c>
      <c r="J199" s="62">
        <v>0.49</v>
      </c>
      <c r="K199" s="62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17"/>
    </row>
    <row r="200" spans="2:22" s="61" customFormat="1" ht="17.25" customHeight="1" outlineLevel="1" x14ac:dyDescent="0.25">
      <c r="B200" s="63">
        <v>21</v>
      </c>
      <c r="C200" s="117" t="s">
        <v>130</v>
      </c>
      <c r="D200" s="117"/>
      <c r="F200" s="61" t="s">
        <v>200</v>
      </c>
      <c r="G200" s="117" t="s">
        <v>310</v>
      </c>
      <c r="I200" s="62">
        <v>164.5</v>
      </c>
      <c r="J200" s="62">
        <v>1.4</v>
      </c>
      <c r="K200" s="62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17"/>
    </row>
    <row r="201" spans="2:22" s="61" customFormat="1" ht="17.25" customHeight="1" outlineLevel="1" x14ac:dyDescent="0.25">
      <c r="B201" s="192">
        <v>22</v>
      </c>
      <c r="C201" s="117" t="s">
        <v>131</v>
      </c>
      <c r="D201" s="117"/>
      <c r="F201" s="61" t="s">
        <v>132</v>
      </c>
      <c r="G201" s="117" t="s">
        <v>131</v>
      </c>
      <c r="I201" s="62">
        <v>657</v>
      </c>
      <c r="J201" s="62" t="s">
        <v>133</v>
      </c>
      <c r="K201" s="62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17"/>
    </row>
    <row r="202" spans="2:22" s="61" customFormat="1" ht="17.25" customHeight="1" outlineLevel="1" x14ac:dyDescent="0.25">
      <c r="B202" s="192"/>
      <c r="C202" s="117" t="s">
        <v>131</v>
      </c>
      <c r="D202" s="117"/>
      <c r="F202" s="61" t="s">
        <v>134</v>
      </c>
      <c r="G202" s="117" t="s">
        <v>131</v>
      </c>
      <c r="I202" s="62">
        <v>725.2</v>
      </c>
      <c r="J202" s="62">
        <v>1.7</v>
      </c>
      <c r="K202" s="62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17"/>
    </row>
    <row r="203" spans="2:22" s="61" customFormat="1" ht="17.25" customHeight="1" outlineLevel="1" x14ac:dyDescent="0.25">
      <c r="B203" s="192">
        <v>23</v>
      </c>
      <c r="C203" s="117" t="s">
        <v>135</v>
      </c>
      <c r="D203" s="117"/>
      <c r="F203" s="61" t="s">
        <v>237</v>
      </c>
      <c r="G203" s="117" t="s">
        <v>235</v>
      </c>
      <c r="I203" s="62">
        <v>276</v>
      </c>
      <c r="J203" s="62">
        <v>3.1</v>
      </c>
      <c r="K203" s="62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17"/>
    </row>
    <row r="204" spans="2:22" s="61" customFormat="1" ht="17.25" customHeight="1" outlineLevel="1" x14ac:dyDescent="0.25">
      <c r="B204" s="192"/>
      <c r="C204" s="117" t="s">
        <v>135</v>
      </c>
      <c r="D204" s="117"/>
      <c r="F204" s="61" t="s">
        <v>238</v>
      </c>
      <c r="G204" s="117" t="s">
        <v>235</v>
      </c>
      <c r="I204" s="62">
        <v>276</v>
      </c>
      <c r="J204" s="62">
        <v>3.1</v>
      </c>
      <c r="K204" s="62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17"/>
    </row>
    <row r="205" spans="2:22" s="61" customFormat="1" ht="17.25" customHeight="1" outlineLevel="1" x14ac:dyDescent="0.25">
      <c r="B205" s="192"/>
      <c r="C205" s="117" t="s">
        <v>135</v>
      </c>
      <c r="D205" s="117"/>
      <c r="F205" s="61" t="s">
        <v>199</v>
      </c>
      <c r="G205" s="117" t="s">
        <v>235</v>
      </c>
      <c r="I205" s="62">
        <v>386.6</v>
      </c>
      <c r="J205" s="62">
        <v>2.8</v>
      </c>
      <c r="K205" s="62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17"/>
    </row>
    <row r="206" spans="2:22" s="61" customFormat="1" ht="17.25" customHeight="1" outlineLevel="1" x14ac:dyDescent="0.25">
      <c r="B206" s="192"/>
      <c r="C206" s="117" t="s">
        <v>135</v>
      </c>
      <c r="D206" s="117"/>
      <c r="F206" s="61" t="s">
        <v>252</v>
      </c>
      <c r="G206" s="117" t="s">
        <v>235</v>
      </c>
      <c r="I206" s="62">
        <v>387.8</v>
      </c>
      <c r="J206" s="62">
        <v>2.8</v>
      </c>
      <c r="K206" s="62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17"/>
    </row>
    <row r="207" spans="2:22" s="61" customFormat="1" ht="17.25" customHeight="1" outlineLevel="1" x14ac:dyDescent="0.25">
      <c r="B207" s="192"/>
      <c r="C207" s="117" t="s">
        <v>135</v>
      </c>
      <c r="D207" s="117"/>
      <c r="F207" s="61" t="s">
        <v>236</v>
      </c>
      <c r="G207" s="117" t="s">
        <v>235</v>
      </c>
      <c r="I207" s="62">
        <v>385.7</v>
      </c>
      <c r="J207" s="62">
        <v>2.8</v>
      </c>
      <c r="K207" s="62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17"/>
    </row>
    <row r="208" spans="2:22" s="61" customFormat="1" ht="17.25" customHeight="1" outlineLevel="1" x14ac:dyDescent="0.25">
      <c r="B208" s="63">
        <v>24</v>
      </c>
      <c r="C208" s="117" t="s">
        <v>136</v>
      </c>
      <c r="D208" s="117"/>
      <c r="F208" s="61" t="s">
        <v>237</v>
      </c>
      <c r="G208" s="117" t="s">
        <v>239</v>
      </c>
      <c r="I208" s="62">
        <v>92.7</v>
      </c>
      <c r="J208" s="62">
        <v>1.4</v>
      </c>
      <c r="K208" s="62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17"/>
    </row>
    <row r="209" spans="2:22" s="61" customFormat="1" ht="17.25" customHeight="1" outlineLevel="1" x14ac:dyDescent="0.25">
      <c r="B209" s="63">
        <v>25</v>
      </c>
      <c r="C209" s="117" t="s">
        <v>137</v>
      </c>
      <c r="D209" s="117"/>
      <c r="F209" s="61" t="s">
        <v>204</v>
      </c>
      <c r="G209" s="117" t="s">
        <v>240</v>
      </c>
      <c r="I209" s="62">
        <v>1.58</v>
      </c>
      <c r="J209" s="62">
        <v>0.92</v>
      </c>
      <c r="K209" s="62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17"/>
    </row>
    <row r="210" spans="2:22" s="61" customFormat="1" ht="17.25" customHeight="1" outlineLevel="1" x14ac:dyDescent="0.25">
      <c r="B210" s="192">
        <v>26</v>
      </c>
      <c r="C210" s="117" t="s">
        <v>242</v>
      </c>
      <c r="D210" s="117"/>
      <c r="F210" s="61" t="s">
        <v>231</v>
      </c>
      <c r="G210" s="117" t="s">
        <v>243</v>
      </c>
      <c r="I210" s="62" t="s">
        <v>138</v>
      </c>
      <c r="J210" s="62">
        <v>0.57999999999999996</v>
      </c>
      <c r="K210" s="62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17"/>
    </row>
    <row r="211" spans="2:22" s="61" customFormat="1" ht="17.25" customHeight="1" outlineLevel="1" x14ac:dyDescent="0.25">
      <c r="B211" s="192"/>
      <c r="C211" s="117" t="s">
        <v>265</v>
      </c>
      <c r="D211" s="117"/>
      <c r="F211" s="61" t="s">
        <v>231</v>
      </c>
      <c r="G211" s="117" t="s">
        <v>243</v>
      </c>
      <c r="I211" s="62">
        <v>-337.2</v>
      </c>
      <c r="J211" s="62">
        <v>1.8</v>
      </c>
      <c r="K211" s="62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17"/>
    </row>
    <row r="212" spans="2:22" s="61" customFormat="1" ht="17.25" customHeight="1" outlineLevel="1" x14ac:dyDescent="0.25">
      <c r="B212" s="192"/>
      <c r="C212" s="117" t="s">
        <v>266</v>
      </c>
      <c r="D212" s="117"/>
      <c r="F212" s="61" t="s">
        <v>231</v>
      </c>
      <c r="G212" s="117" t="s">
        <v>243</v>
      </c>
      <c r="I212" s="62" t="s">
        <v>138</v>
      </c>
      <c r="J212" s="62">
        <v>0.57999999999999996</v>
      </c>
      <c r="K212" s="62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17"/>
    </row>
    <row r="213" spans="2:22" s="61" customFormat="1" ht="17.25" customHeight="1" outlineLevel="1" x14ac:dyDescent="0.25">
      <c r="B213" s="63">
        <v>27</v>
      </c>
      <c r="C213" s="117" t="s">
        <v>139</v>
      </c>
      <c r="D213" s="117"/>
      <c r="F213" s="61" t="s">
        <v>140</v>
      </c>
      <c r="G213" s="117" t="s">
        <v>244</v>
      </c>
      <c r="I213" s="62">
        <v>189.8</v>
      </c>
      <c r="J213" s="62">
        <v>1.8</v>
      </c>
      <c r="K213" s="62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17"/>
    </row>
    <row r="214" spans="2:22" s="61" customFormat="1" ht="17.25" customHeight="1" outlineLevel="1" x14ac:dyDescent="0.25">
      <c r="B214" s="63">
        <v>28</v>
      </c>
      <c r="C214" s="117" t="s">
        <v>141</v>
      </c>
      <c r="D214" s="117"/>
      <c r="F214" s="61" t="s">
        <v>246</v>
      </c>
      <c r="G214" s="117" t="s">
        <v>245</v>
      </c>
      <c r="I214" s="62">
        <v>217.99</v>
      </c>
      <c r="J214" s="62">
        <v>0.7</v>
      </c>
      <c r="K214" s="62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17"/>
    </row>
    <row r="215" spans="2:22" s="61" customFormat="1" ht="17.25" customHeight="1" outlineLevel="1" x14ac:dyDescent="0.25">
      <c r="B215" s="63">
        <v>29</v>
      </c>
      <c r="C215" s="117" t="s">
        <v>247</v>
      </c>
      <c r="D215" s="117"/>
      <c r="F215" s="61" t="s">
        <v>142</v>
      </c>
      <c r="G215" s="117" t="s">
        <v>255</v>
      </c>
      <c r="I215" s="62">
        <v>106.6</v>
      </c>
      <c r="J215" s="62">
        <v>1.2</v>
      </c>
      <c r="K215" s="62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17"/>
    </row>
    <row r="216" spans="2:22" s="61" customFormat="1" ht="17.25" customHeight="1" outlineLevel="1" x14ac:dyDescent="0.25">
      <c r="B216" s="63">
        <v>30</v>
      </c>
      <c r="C216" s="117" t="s">
        <v>248</v>
      </c>
      <c r="D216" s="117"/>
      <c r="F216" s="61" t="s">
        <v>143</v>
      </c>
      <c r="G216" s="117" t="s">
        <v>256</v>
      </c>
      <c r="I216" s="62">
        <v>296.3</v>
      </c>
      <c r="J216" s="62">
        <v>2.1</v>
      </c>
      <c r="K216" s="62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17"/>
    </row>
    <row r="217" spans="2:22" s="61" customFormat="1" ht="17.25" customHeight="1" outlineLevel="1" x14ac:dyDescent="0.25">
      <c r="B217" s="63">
        <v>31</v>
      </c>
      <c r="C217" s="117" t="s">
        <v>249</v>
      </c>
      <c r="D217" s="117"/>
      <c r="F217" s="61" t="s">
        <v>144</v>
      </c>
      <c r="G217" s="117" t="s">
        <v>250</v>
      </c>
      <c r="I217" s="62">
        <v>149.19999999999999</v>
      </c>
      <c r="J217" s="62" t="s">
        <v>145</v>
      </c>
      <c r="K217" s="62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17"/>
    </row>
    <row r="218" spans="2:22" s="61" customFormat="1" ht="17.25" customHeight="1" outlineLevel="1" x14ac:dyDescent="0.25">
      <c r="B218" s="192">
        <v>32</v>
      </c>
      <c r="C218" s="117" t="s">
        <v>267</v>
      </c>
      <c r="D218" s="117"/>
      <c r="F218" s="61" t="s">
        <v>231</v>
      </c>
      <c r="G218" s="117" t="s">
        <v>259</v>
      </c>
      <c r="I218" s="62">
        <v>-193.86</v>
      </c>
      <c r="J218" s="62">
        <v>0.73</v>
      </c>
      <c r="K218" s="62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17"/>
    </row>
    <row r="219" spans="2:22" s="61" customFormat="1" ht="17.25" customHeight="1" outlineLevel="1" x14ac:dyDescent="0.25">
      <c r="B219" s="192"/>
      <c r="C219" s="117" t="s">
        <v>146</v>
      </c>
      <c r="D219" s="117"/>
      <c r="F219" s="61" t="s">
        <v>231</v>
      </c>
      <c r="G219" s="117" t="s">
        <v>251</v>
      </c>
      <c r="I219" s="62">
        <v>-212.4</v>
      </c>
      <c r="J219" s="62">
        <v>0.59</v>
      </c>
      <c r="K219" s="62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17"/>
    </row>
    <row r="220" spans="2:22" s="61" customFormat="1" ht="17.25" customHeight="1" outlineLevel="1" x14ac:dyDescent="0.25">
      <c r="B220" s="192"/>
      <c r="C220" s="117" t="s">
        <v>268</v>
      </c>
      <c r="D220" s="117"/>
      <c r="F220" s="61" t="s">
        <v>231</v>
      </c>
      <c r="G220" s="117" t="s">
        <v>260</v>
      </c>
      <c r="I220" s="62" t="s">
        <v>147</v>
      </c>
      <c r="J220" s="62" t="s">
        <v>148</v>
      </c>
      <c r="K220" s="62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17"/>
    </row>
    <row r="221" spans="2:22" s="61" customFormat="1" ht="17.25" customHeight="1" outlineLevel="1" x14ac:dyDescent="0.25">
      <c r="B221" s="192">
        <v>33</v>
      </c>
      <c r="C221" s="117" t="s">
        <v>149</v>
      </c>
      <c r="D221" s="117"/>
      <c r="F221" s="61" t="s">
        <v>150</v>
      </c>
      <c r="G221" s="117"/>
      <c r="I221" s="62">
        <v>439.5</v>
      </c>
      <c r="J221" s="62">
        <v>2.1</v>
      </c>
      <c r="K221" s="62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17"/>
    </row>
    <row r="222" spans="2:22" s="61" customFormat="1" ht="17.25" customHeight="1" outlineLevel="1" x14ac:dyDescent="0.25">
      <c r="B222" s="192"/>
      <c r="C222" s="117" t="s">
        <v>149</v>
      </c>
      <c r="D222" s="117"/>
      <c r="F222" s="61" t="s">
        <v>151</v>
      </c>
      <c r="G222" s="117"/>
      <c r="I222" s="62">
        <v>467.5</v>
      </c>
      <c r="J222" s="62">
        <v>2.4</v>
      </c>
      <c r="K222" s="62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17"/>
    </row>
    <row r="223" spans="2:22" s="61" customFormat="1" ht="17.25" customHeight="1" outlineLevel="1" x14ac:dyDescent="0.25">
      <c r="B223" s="192">
        <v>34</v>
      </c>
      <c r="C223" s="117" t="s">
        <v>253</v>
      </c>
      <c r="D223" s="117"/>
      <c r="F223" s="61" t="s">
        <v>241</v>
      </c>
      <c r="G223" s="117" t="s">
        <v>258</v>
      </c>
      <c r="I223" s="62">
        <v>329.9</v>
      </c>
      <c r="J223" s="62">
        <v>5.9</v>
      </c>
      <c r="K223" s="62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17"/>
    </row>
    <row r="224" spans="2:22" s="61" customFormat="1" ht="17.25" customHeight="1" outlineLevel="1" x14ac:dyDescent="0.25">
      <c r="B224" s="192"/>
      <c r="C224" s="117" t="s">
        <v>269</v>
      </c>
      <c r="D224" s="117"/>
      <c r="F224" s="61" t="s">
        <v>241</v>
      </c>
      <c r="G224" s="117" t="s">
        <v>257</v>
      </c>
      <c r="I224" s="62">
        <v>356.7</v>
      </c>
      <c r="J224" s="62">
        <v>5.9</v>
      </c>
      <c r="K224" s="62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17"/>
    </row>
    <row r="225" spans="2:22" s="61" customFormat="1" ht="17.25" customHeight="1" outlineLevel="1" x14ac:dyDescent="0.25">
      <c r="B225" s="192"/>
      <c r="C225" s="117" t="s">
        <v>270</v>
      </c>
      <c r="D225" s="117"/>
      <c r="F225" s="61" t="s">
        <v>241</v>
      </c>
      <c r="G225" s="117" t="s">
        <v>254</v>
      </c>
      <c r="I225" s="62">
        <v>329.9</v>
      </c>
      <c r="J225" s="62">
        <v>5.9</v>
      </c>
      <c r="K225" s="62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17"/>
    </row>
    <row r="226" spans="2:22" s="61" customFormat="1" ht="17.25" customHeight="1" outlineLevel="1" x14ac:dyDescent="0.25">
      <c r="B226" s="63">
        <v>35</v>
      </c>
      <c r="C226" s="117" t="s">
        <v>152</v>
      </c>
      <c r="D226" s="117"/>
      <c r="F226" s="61" t="s">
        <v>153</v>
      </c>
      <c r="G226" s="117" t="s">
        <v>271</v>
      </c>
      <c r="I226" s="62">
        <v>213</v>
      </c>
      <c r="J226" s="62">
        <v>2</v>
      </c>
      <c r="K226" s="62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17"/>
    </row>
    <row r="227" spans="2:22" s="61" customFormat="1" ht="17.25" customHeight="1" outlineLevel="1" x14ac:dyDescent="0.25">
      <c r="B227" s="192">
        <v>36</v>
      </c>
      <c r="C227" s="117" t="s">
        <v>272</v>
      </c>
      <c r="D227" s="117"/>
      <c r="F227" s="61" t="s">
        <v>273</v>
      </c>
      <c r="G227" s="117" t="s">
        <v>275</v>
      </c>
      <c r="I227" s="62" t="s">
        <v>154</v>
      </c>
      <c r="J227" s="62">
        <v>1.6</v>
      </c>
      <c r="K227" s="62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17"/>
    </row>
    <row r="228" spans="2:22" s="61" customFormat="1" ht="17.25" customHeight="1" outlineLevel="1" x14ac:dyDescent="0.25">
      <c r="B228" s="192"/>
      <c r="C228" s="117" t="s">
        <v>272</v>
      </c>
      <c r="D228" s="117"/>
      <c r="F228" s="61" t="s">
        <v>274</v>
      </c>
      <c r="G228" s="117" t="s">
        <v>275</v>
      </c>
      <c r="I228" s="62" t="s">
        <v>155</v>
      </c>
      <c r="J228" s="62" t="s">
        <v>156</v>
      </c>
      <c r="K228" s="62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17"/>
    </row>
    <row r="229" spans="2:22" s="61" customFormat="1" ht="17.25" customHeight="1" outlineLevel="1" x14ac:dyDescent="0.25">
      <c r="B229" s="63">
        <v>37</v>
      </c>
      <c r="C229" s="117" t="s">
        <v>276</v>
      </c>
      <c r="D229" s="117"/>
      <c r="F229" s="61" t="s">
        <v>278</v>
      </c>
      <c r="G229" s="117" t="s">
        <v>277</v>
      </c>
      <c r="I229" s="62" t="s">
        <v>157</v>
      </c>
      <c r="J229" s="62">
        <v>2.1</v>
      </c>
      <c r="K229" s="62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17"/>
    </row>
    <row r="230" spans="2:22" s="61" customFormat="1" ht="17.25" customHeight="1" outlineLevel="1" x14ac:dyDescent="0.25">
      <c r="B230" s="63">
        <v>38</v>
      </c>
      <c r="C230" s="117" t="s">
        <v>158</v>
      </c>
      <c r="D230" s="117"/>
      <c r="F230" s="61" t="s">
        <v>279</v>
      </c>
      <c r="G230" s="117" t="s">
        <v>280</v>
      </c>
      <c r="I230" s="62" t="s">
        <v>159</v>
      </c>
      <c r="J230" s="62" t="s">
        <v>160</v>
      </c>
      <c r="K230" s="62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17"/>
    </row>
    <row r="231" spans="2:22" s="61" customFormat="1" ht="17.25" customHeight="1" outlineLevel="1" x14ac:dyDescent="0.25">
      <c r="B231" s="63">
        <v>39</v>
      </c>
      <c r="C231" s="117" t="s">
        <v>161</v>
      </c>
      <c r="D231" s="117"/>
      <c r="F231" s="61" t="s">
        <v>288</v>
      </c>
      <c r="G231" s="117" t="s">
        <v>289</v>
      </c>
      <c r="I231" s="62" t="s">
        <v>162</v>
      </c>
      <c r="J231" s="62">
        <v>0.36</v>
      </c>
      <c r="K231" s="62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17"/>
    </row>
    <row r="232" spans="2:22" s="61" customFormat="1" ht="17.25" customHeight="1" outlineLevel="1" x14ac:dyDescent="0.25">
      <c r="B232" s="63">
        <v>40</v>
      </c>
      <c r="C232" s="117" t="s">
        <v>308</v>
      </c>
      <c r="D232" s="117"/>
      <c r="F232" s="61" t="s">
        <v>163</v>
      </c>
      <c r="G232" s="117" t="s">
        <v>290</v>
      </c>
      <c r="I232" s="62" t="s">
        <v>164</v>
      </c>
      <c r="J232" s="62" t="s">
        <v>165</v>
      </c>
      <c r="K232" s="62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17"/>
    </row>
    <row r="233" spans="2:22" s="61" customFormat="1" ht="17.25" customHeight="1" outlineLevel="1" x14ac:dyDescent="0.25">
      <c r="B233" s="63">
        <v>45</v>
      </c>
      <c r="C233" s="117" t="s">
        <v>429</v>
      </c>
      <c r="D233" s="117"/>
      <c r="F233" s="61" t="s">
        <v>430</v>
      </c>
      <c r="G233" s="117" t="s">
        <v>431</v>
      </c>
      <c r="I233" s="62">
        <v>-16.75</v>
      </c>
      <c r="J233" s="62">
        <v>0.32</v>
      </c>
      <c r="K233" s="62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17"/>
    </row>
    <row r="234" spans="2:22" s="61" customFormat="1" ht="17.25" customHeight="1" outlineLevel="1" x14ac:dyDescent="0.25">
      <c r="B234" s="63">
        <v>46</v>
      </c>
      <c r="C234" s="117" t="s">
        <v>432</v>
      </c>
      <c r="D234" s="117"/>
      <c r="F234" s="61" t="s">
        <v>433</v>
      </c>
      <c r="G234" s="117" t="s">
        <v>434</v>
      </c>
      <c r="I234" s="62">
        <v>141.72999999999999</v>
      </c>
      <c r="J234" s="62">
        <v>0.04</v>
      </c>
      <c r="K234" s="62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17"/>
    </row>
    <row r="235" spans="2:22" s="61" customFormat="1" ht="18" customHeight="1" outlineLevel="1" x14ac:dyDescent="0.25">
      <c r="B235" s="63">
        <v>47</v>
      </c>
      <c r="C235" s="117" t="s">
        <v>435</v>
      </c>
      <c r="D235" s="117"/>
      <c r="F235" s="61" t="s">
        <v>430</v>
      </c>
      <c r="G235" s="117" t="s">
        <v>436</v>
      </c>
      <c r="I235" s="62">
        <v>21.81</v>
      </c>
      <c r="J235" s="62">
        <v>0.37</v>
      </c>
      <c r="K235" s="62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17"/>
    </row>
    <row r="236" spans="2:22" s="61" customFormat="1" ht="18" customHeight="1" outlineLevel="1" x14ac:dyDescent="0.25">
      <c r="B236" s="63"/>
      <c r="C236" s="117" t="s">
        <v>437</v>
      </c>
      <c r="D236" s="117"/>
      <c r="F236" s="61" t="s">
        <v>438</v>
      </c>
      <c r="G236" s="117" t="s">
        <v>245</v>
      </c>
      <c r="I236" s="62">
        <v>41.84</v>
      </c>
      <c r="J236" s="62">
        <v>0.11</v>
      </c>
      <c r="K236" s="62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17"/>
    </row>
    <row r="237" spans="2:22" s="61" customFormat="1" ht="18" customHeight="1" outlineLevel="1" x14ac:dyDescent="0.25">
      <c r="B237" s="63"/>
      <c r="C237" s="117" t="s">
        <v>439</v>
      </c>
      <c r="D237" s="117"/>
      <c r="F237" s="61" t="s">
        <v>427</v>
      </c>
      <c r="G237" s="117" t="s">
        <v>440</v>
      </c>
      <c r="I237" s="62">
        <v>-52.73</v>
      </c>
      <c r="J237" s="62">
        <v>0.44</v>
      </c>
      <c r="K237" s="62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17"/>
    </row>
    <row r="238" spans="2:22" s="61" customFormat="1" ht="18" customHeight="1" outlineLevel="1" x14ac:dyDescent="0.25">
      <c r="B238" s="63"/>
      <c r="C238" s="117" t="s">
        <v>441</v>
      </c>
      <c r="D238" s="117"/>
      <c r="F238" s="61" t="s">
        <v>442</v>
      </c>
      <c r="G238" s="117" t="s">
        <v>443</v>
      </c>
      <c r="I238" s="62">
        <v>-216.1</v>
      </c>
      <c r="J238" s="62">
        <v>0.37</v>
      </c>
      <c r="K238" s="62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17"/>
    </row>
    <row r="239" spans="2:22" s="61" customFormat="1" ht="18" customHeight="1" outlineLevel="1" x14ac:dyDescent="0.25">
      <c r="B239" s="63"/>
      <c r="C239" s="117" t="s">
        <v>444</v>
      </c>
      <c r="D239" s="117"/>
      <c r="F239" s="61" t="s">
        <v>201</v>
      </c>
      <c r="G239" s="117" t="s">
        <v>445</v>
      </c>
      <c r="I239" s="62">
        <v>-127.79</v>
      </c>
      <c r="J239" s="62">
        <v>0.91</v>
      </c>
      <c r="K239" s="62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17"/>
    </row>
    <row r="240" spans="2:22" s="61" customFormat="1" ht="18" customHeight="1" outlineLevel="1" x14ac:dyDescent="0.25">
      <c r="B240" s="63"/>
      <c r="C240" s="117" t="s">
        <v>446</v>
      </c>
      <c r="D240" s="117"/>
      <c r="F240" s="61" t="s">
        <v>447</v>
      </c>
      <c r="G240" s="117"/>
      <c r="I240" s="62">
        <v>295.2</v>
      </c>
      <c r="J240" s="62">
        <v>1.1000000000000001</v>
      </c>
      <c r="K240" s="62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17"/>
    </row>
    <row r="241" spans="2:22" s="61" customFormat="1" ht="18" customHeight="1" outlineLevel="1" x14ac:dyDescent="0.25">
      <c r="B241" s="192"/>
      <c r="C241" s="117" t="s">
        <v>448</v>
      </c>
      <c r="D241" s="117"/>
      <c r="F241" s="61" t="s">
        <v>447</v>
      </c>
      <c r="G241" s="117" t="s">
        <v>449</v>
      </c>
      <c r="I241" s="62">
        <v>22.23</v>
      </c>
      <c r="J241" s="62">
        <v>0.13</v>
      </c>
      <c r="K241" s="62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17"/>
    </row>
    <row r="242" spans="2:22" s="61" customFormat="1" ht="18" customHeight="1" outlineLevel="1" x14ac:dyDescent="0.25">
      <c r="B242" s="192"/>
      <c r="C242" s="117" t="s">
        <v>450</v>
      </c>
      <c r="D242" s="117"/>
      <c r="F242" s="61" t="s">
        <v>447</v>
      </c>
      <c r="G242" s="117" t="s">
        <v>452</v>
      </c>
      <c r="I242" s="62">
        <v>23.33</v>
      </c>
      <c r="J242" s="62">
        <v>0.13</v>
      </c>
      <c r="K242" s="62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17"/>
    </row>
    <row r="243" spans="2:22" s="61" customFormat="1" ht="18" customHeight="1" outlineLevel="1" x14ac:dyDescent="0.25">
      <c r="B243" s="192"/>
      <c r="C243" s="117" t="s">
        <v>451</v>
      </c>
      <c r="D243" s="117"/>
      <c r="F243" s="61" t="s">
        <v>447</v>
      </c>
      <c r="G243" s="117" t="s">
        <v>453</v>
      </c>
      <c r="I243" s="62">
        <v>23.01</v>
      </c>
      <c r="J243" s="62">
        <v>0.19</v>
      </c>
      <c r="K243" s="62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17"/>
    </row>
    <row r="244" spans="2:22" s="2" customFormat="1" ht="17.25" customHeight="1" outlineLevel="1" x14ac:dyDescent="0.25">
      <c r="B244" s="8"/>
      <c r="C244" s="118"/>
      <c r="D244" s="118"/>
      <c r="G244" s="118"/>
      <c r="H244" s="50"/>
      <c r="I244" s="51"/>
      <c r="J244" s="51"/>
      <c r="K244" s="51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18"/>
    </row>
    <row r="245" spans="2:22" s="2" customFormat="1" ht="17.25" customHeight="1" x14ac:dyDescent="0.25">
      <c r="B245" s="20" t="s">
        <v>408</v>
      </c>
      <c r="C245" s="119"/>
      <c r="D245" s="119"/>
      <c r="E245" s="19"/>
      <c r="F245" s="19"/>
      <c r="G245" s="119"/>
      <c r="H245" s="56"/>
      <c r="I245" s="56"/>
      <c r="J245" s="56"/>
      <c r="K245" s="56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8"/>
    </row>
    <row r="246" spans="2:22" ht="17.25" customHeight="1" outlineLevel="1" x14ac:dyDescent="0.25">
      <c r="B246" s="9">
        <v>1</v>
      </c>
      <c r="C246" s="120" t="s">
        <v>307</v>
      </c>
      <c r="D246" s="120"/>
      <c r="E246" s="1"/>
      <c r="F246" s="2" t="s">
        <v>318</v>
      </c>
      <c r="G246" s="118" t="s">
        <v>309</v>
      </c>
      <c r="H246" s="50">
        <v>129.66200000000001</v>
      </c>
      <c r="I246" s="51">
        <v>129.27699999999999</v>
      </c>
      <c r="J246" s="51">
        <v>9.0999999999999998E-2</v>
      </c>
      <c r="K246" s="43">
        <f t="shared" ref="K246" si="49">H246/4.184</f>
        <v>30.989961759082217</v>
      </c>
      <c r="L246" s="146">
        <f t="shared" ref="L246" si="50">I246/4.184</f>
        <v>30.897944550669212</v>
      </c>
      <c r="M246" s="146">
        <f t="shared" ref="M246" si="51">J246/4.184</f>
        <v>2.1749521988527722E-2</v>
      </c>
      <c r="N246" s="165"/>
      <c r="O246" s="164"/>
      <c r="P246" s="164"/>
      <c r="Q246" s="164"/>
      <c r="R246" s="164"/>
      <c r="S246" s="164"/>
      <c r="T246" s="164"/>
      <c r="U246" s="164"/>
    </row>
    <row r="247" spans="2:22" ht="17.25" customHeight="1" outlineLevel="1" x14ac:dyDescent="0.25">
      <c r="B247" s="9">
        <v>2</v>
      </c>
      <c r="C247" s="120" t="s">
        <v>311</v>
      </c>
      <c r="D247" s="120"/>
      <c r="E247" s="1"/>
      <c r="F247" s="2" t="s">
        <v>319</v>
      </c>
      <c r="G247" s="118" t="s">
        <v>312</v>
      </c>
      <c r="H247" s="50"/>
      <c r="I247" s="51">
        <v>88.7</v>
      </c>
      <c r="J247" s="51">
        <v>0.98</v>
      </c>
      <c r="K247" s="51"/>
      <c r="L247" s="164"/>
      <c r="M247" s="164"/>
      <c r="N247" s="165"/>
      <c r="O247" s="164"/>
      <c r="P247" s="164"/>
      <c r="Q247" s="164"/>
      <c r="R247" s="164"/>
      <c r="S247" s="164"/>
      <c r="T247" s="164"/>
      <c r="U247" s="164"/>
    </row>
    <row r="248" spans="2:22" ht="13.95" customHeight="1" outlineLevel="1" x14ac:dyDescent="0.25">
      <c r="B248" s="9">
        <v>3</v>
      </c>
      <c r="C248" s="118" t="s">
        <v>313</v>
      </c>
      <c r="D248" s="118"/>
      <c r="E248" s="2"/>
      <c r="F248" s="2" t="s">
        <v>320</v>
      </c>
      <c r="G248" s="118" t="s">
        <v>305</v>
      </c>
      <c r="H248" s="50"/>
      <c r="I248" s="51">
        <v>-20.91</v>
      </c>
      <c r="J248" s="51">
        <v>0.53</v>
      </c>
      <c r="K248" s="51"/>
      <c r="L248" s="164"/>
      <c r="M248" s="164"/>
      <c r="N248" s="165"/>
      <c r="O248" s="164"/>
      <c r="P248" s="164"/>
      <c r="Q248" s="164"/>
      <c r="R248" s="164"/>
      <c r="S248" s="164"/>
      <c r="T248" s="164"/>
      <c r="U248" s="164"/>
    </row>
    <row r="249" spans="2:22" ht="13.95" customHeight="1" outlineLevel="1" x14ac:dyDescent="0.25">
      <c r="B249" s="1">
        <v>4</v>
      </c>
      <c r="C249" s="118" t="s">
        <v>314</v>
      </c>
      <c r="D249" s="118"/>
      <c r="E249" s="2"/>
      <c r="F249" s="2" t="s">
        <v>321</v>
      </c>
      <c r="G249" s="118" t="s">
        <v>315</v>
      </c>
      <c r="H249" s="50"/>
      <c r="I249" s="51">
        <v>200.22</v>
      </c>
      <c r="J249" s="51">
        <v>0.56000000000000005</v>
      </c>
      <c r="K249" s="51"/>
      <c r="L249" s="164"/>
      <c r="M249" s="164"/>
      <c r="N249" s="165"/>
      <c r="O249" s="164"/>
      <c r="P249" s="164"/>
      <c r="Q249" s="164"/>
      <c r="R249" s="164"/>
      <c r="S249" s="164"/>
      <c r="T249" s="164"/>
      <c r="U249" s="164"/>
    </row>
    <row r="250" spans="2:22" ht="13.95" customHeight="1" outlineLevel="1" x14ac:dyDescent="0.25">
      <c r="B250" s="1"/>
      <c r="C250" s="118" t="s">
        <v>316</v>
      </c>
      <c r="D250" s="118"/>
      <c r="E250" s="2"/>
      <c r="F250" s="2" t="s">
        <v>321</v>
      </c>
      <c r="G250" s="118" t="s">
        <v>456</v>
      </c>
      <c r="H250" s="50"/>
      <c r="I250" s="51">
        <v>200.22</v>
      </c>
      <c r="J250" s="51">
        <v>0.56000000000000005</v>
      </c>
      <c r="K250" s="51"/>
      <c r="L250" s="164"/>
      <c r="M250" s="164"/>
      <c r="N250" s="165"/>
      <c r="O250" s="164"/>
      <c r="P250" s="164"/>
      <c r="Q250" s="164"/>
      <c r="R250" s="164"/>
      <c r="S250" s="164"/>
      <c r="T250" s="164"/>
      <c r="U250" s="164"/>
    </row>
    <row r="251" spans="2:22" ht="13.95" customHeight="1" outlineLevel="1" x14ac:dyDescent="0.25">
      <c r="B251" s="1"/>
      <c r="C251" s="118" t="s">
        <v>317</v>
      </c>
      <c r="D251" s="118"/>
      <c r="E251" s="2"/>
      <c r="F251" s="2" t="s">
        <v>321</v>
      </c>
      <c r="G251" s="118" t="s">
        <v>457</v>
      </c>
      <c r="H251" s="50"/>
      <c r="I251" s="51">
        <v>222.47</v>
      </c>
      <c r="J251" s="51">
        <v>0.83</v>
      </c>
      <c r="K251" s="51"/>
      <c r="L251" s="164"/>
      <c r="M251" s="164"/>
      <c r="N251" s="165"/>
      <c r="O251" s="164"/>
      <c r="P251" s="164"/>
      <c r="Q251" s="164"/>
      <c r="R251" s="164"/>
      <c r="S251" s="164"/>
      <c r="T251" s="164"/>
      <c r="U251" s="164"/>
    </row>
    <row r="252" spans="2:22" ht="13.95" customHeight="1" outlineLevel="1" x14ac:dyDescent="0.25">
      <c r="B252" s="9">
        <v>5</v>
      </c>
      <c r="C252" s="118" t="s">
        <v>322</v>
      </c>
      <c r="D252" s="118"/>
      <c r="E252" s="2"/>
      <c r="F252" s="2" t="s">
        <v>323</v>
      </c>
      <c r="G252" s="118" t="s">
        <v>324</v>
      </c>
      <c r="H252" s="50"/>
      <c r="I252" s="51">
        <v>310.12</v>
      </c>
      <c r="J252" s="51">
        <v>0.43</v>
      </c>
      <c r="K252" s="51"/>
      <c r="L252" s="164"/>
      <c r="M252" s="164"/>
      <c r="N252" s="165"/>
      <c r="O252" s="164"/>
      <c r="P252" s="164"/>
      <c r="Q252" s="164"/>
      <c r="R252" s="164"/>
      <c r="S252" s="164"/>
      <c r="T252" s="164"/>
      <c r="U252" s="164"/>
    </row>
    <row r="253" spans="2:22" ht="13.95" customHeight="1" outlineLevel="1" x14ac:dyDescent="0.25">
      <c r="B253" s="9">
        <v>6</v>
      </c>
      <c r="C253" s="118" t="s">
        <v>325</v>
      </c>
      <c r="D253" s="118"/>
      <c r="E253" s="2"/>
      <c r="F253" s="2" t="s">
        <v>326</v>
      </c>
      <c r="G253" s="118" t="s">
        <v>327</v>
      </c>
      <c r="H253" s="50"/>
      <c r="I253" s="51">
        <v>95.55</v>
      </c>
      <c r="J253" s="51">
        <v>0.19</v>
      </c>
      <c r="K253" s="51"/>
      <c r="L253" s="164"/>
      <c r="M253" s="164"/>
      <c r="N253" s="165"/>
      <c r="O253" s="164"/>
      <c r="P253" s="164"/>
      <c r="Q253" s="164"/>
      <c r="R253" s="164"/>
      <c r="S253" s="164"/>
      <c r="T253" s="164"/>
      <c r="U253" s="164"/>
    </row>
    <row r="254" spans="2:22" ht="13.95" customHeight="1" outlineLevel="1" x14ac:dyDescent="0.25">
      <c r="B254" s="9">
        <v>7</v>
      </c>
      <c r="C254" s="118" t="s">
        <v>328</v>
      </c>
      <c r="D254" s="118"/>
      <c r="E254" s="2"/>
      <c r="F254" s="2" t="s">
        <v>329</v>
      </c>
      <c r="G254" s="118" t="s">
        <v>330</v>
      </c>
      <c r="H254" s="50"/>
      <c r="I254" s="51">
        <v>224.87</v>
      </c>
      <c r="J254" s="51">
        <v>0.93</v>
      </c>
      <c r="K254" s="51"/>
      <c r="L254" s="164"/>
      <c r="M254" s="164"/>
      <c r="N254" s="165"/>
      <c r="O254" s="164"/>
      <c r="P254" s="164"/>
      <c r="Q254" s="164"/>
      <c r="R254" s="164"/>
      <c r="S254" s="164"/>
      <c r="T254" s="164"/>
      <c r="U254" s="164"/>
    </row>
    <row r="255" spans="2:22" ht="13.95" customHeight="1" outlineLevel="1" x14ac:dyDescent="0.25">
      <c r="B255" s="9">
        <v>8</v>
      </c>
      <c r="C255" s="118" t="s">
        <v>331</v>
      </c>
      <c r="D255" s="118"/>
      <c r="E255" s="2"/>
      <c r="F255" s="2" t="s">
        <v>333</v>
      </c>
      <c r="G255" s="118" t="s">
        <v>370</v>
      </c>
      <c r="H255" s="50"/>
      <c r="I255" s="51">
        <v>291.83</v>
      </c>
      <c r="J255" s="51">
        <v>0.57999999999999996</v>
      </c>
      <c r="K255" s="51"/>
      <c r="L255" s="164"/>
      <c r="M255" s="164"/>
      <c r="N255" s="165"/>
      <c r="O255" s="164"/>
      <c r="P255" s="164"/>
      <c r="Q255" s="164"/>
      <c r="R255" s="164"/>
      <c r="S255" s="164"/>
      <c r="T255" s="164"/>
      <c r="U255" s="164"/>
    </row>
    <row r="256" spans="2:22" ht="13.95" customHeight="1" outlineLevel="1" x14ac:dyDescent="0.25">
      <c r="B256" s="9">
        <v>9</v>
      </c>
      <c r="C256" s="118" t="s">
        <v>332</v>
      </c>
      <c r="D256" s="118"/>
      <c r="E256" s="2"/>
      <c r="F256" s="2" t="s">
        <v>321</v>
      </c>
      <c r="G256" s="118" t="s">
        <v>334</v>
      </c>
      <c r="H256" s="50"/>
      <c r="I256" s="51">
        <v>300.94</v>
      </c>
      <c r="J256" s="51">
        <v>0.81</v>
      </c>
      <c r="K256" s="51"/>
      <c r="L256" s="164"/>
      <c r="M256" s="164"/>
      <c r="N256" s="165"/>
      <c r="O256" s="164"/>
      <c r="P256" s="164"/>
      <c r="Q256" s="164"/>
      <c r="R256" s="164"/>
      <c r="S256" s="164"/>
      <c r="T256" s="164"/>
      <c r="U256" s="164"/>
    </row>
    <row r="257" spans="2:21" ht="13.95" customHeight="1" outlineLevel="1" x14ac:dyDescent="0.25">
      <c r="B257" s="1">
        <v>10</v>
      </c>
      <c r="C257" s="118" t="s">
        <v>335</v>
      </c>
      <c r="D257" s="118"/>
      <c r="E257" s="2"/>
      <c r="F257" s="2" t="s">
        <v>336</v>
      </c>
      <c r="G257" s="118" t="s">
        <v>337</v>
      </c>
      <c r="H257" s="50"/>
      <c r="I257" s="51">
        <v>272.60000000000002</v>
      </c>
      <c r="J257" s="51">
        <v>1.4</v>
      </c>
      <c r="K257" s="51"/>
      <c r="L257" s="164"/>
      <c r="M257" s="164"/>
      <c r="N257" s="165"/>
      <c r="O257" s="164"/>
      <c r="P257" s="164"/>
      <c r="Q257" s="164"/>
      <c r="R257" s="164"/>
      <c r="S257" s="164"/>
      <c r="T257" s="164"/>
      <c r="U257" s="164"/>
    </row>
    <row r="258" spans="2:21" ht="13.95" customHeight="1" outlineLevel="1" x14ac:dyDescent="0.25">
      <c r="B258" s="1"/>
      <c r="C258" s="118" t="s">
        <v>339</v>
      </c>
      <c r="D258" s="118"/>
      <c r="E258" s="2"/>
      <c r="F258" s="2" t="s">
        <v>336</v>
      </c>
      <c r="G258" s="118" t="s">
        <v>454</v>
      </c>
      <c r="H258" s="50"/>
      <c r="I258" s="51">
        <v>291.10000000000002</v>
      </c>
      <c r="J258" s="51">
        <v>1.4</v>
      </c>
      <c r="K258" s="51"/>
      <c r="L258" s="164"/>
      <c r="M258" s="164"/>
      <c r="N258" s="165"/>
      <c r="O258" s="164"/>
      <c r="P258" s="164"/>
      <c r="Q258" s="164"/>
      <c r="R258" s="164"/>
      <c r="S258" s="164"/>
      <c r="T258" s="164"/>
      <c r="U258" s="164"/>
    </row>
    <row r="259" spans="2:21" ht="13.95" customHeight="1" outlineLevel="1" x14ac:dyDescent="0.25">
      <c r="B259" s="1"/>
      <c r="C259" s="118" t="s">
        <v>338</v>
      </c>
      <c r="D259" s="118"/>
      <c r="E259" s="2"/>
      <c r="F259" s="2" t="s">
        <v>336</v>
      </c>
      <c r="G259" s="118" t="s">
        <v>455</v>
      </c>
      <c r="H259" s="50"/>
      <c r="I259" s="51">
        <v>272.60000000000002</v>
      </c>
      <c r="J259" s="51">
        <v>1.4</v>
      </c>
      <c r="K259" s="51"/>
      <c r="L259" s="164"/>
      <c r="M259" s="164"/>
      <c r="N259" s="165"/>
      <c r="O259" s="164"/>
      <c r="P259" s="164"/>
      <c r="Q259" s="164"/>
      <c r="R259" s="164"/>
      <c r="S259" s="164"/>
      <c r="T259" s="164"/>
      <c r="U259" s="164"/>
    </row>
    <row r="260" spans="2:21" ht="13.95" customHeight="1" outlineLevel="1" x14ac:dyDescent="0.25">
      <c r="B260" s="9">
        <v>11</v>
      </c>
      <c r="C260" s="118" t="s">
        <v>343</v>
      </c>
      <c r="D260" s="118"/>
      <c r="E260" s="2"/>
      <c r="F260" s="2" t="s">
        <v>340</v>
      </c>
      <c r="G260" s="118" t="s">
        <v>341</v>
      </c>
      <c r="H260" s="50"/>
      <c r="I260" s="51">
        <v>322.10000000000002</v>
      </c>
      <c r="J260" s="51">
        <v>1.6</v>
      </c>
      <c r="K260" s="51"/>
      <c r="L260" s="164"/>
      <c r="M260" s="164"/>
      <c r="N260" s="165"/>
      <c r="O260" s="164"/>
      <c r="P260" s="164"/>
      <c r="Q260" s="164"/>
      <c r="R260" s="164"/>
      <c r="S260" s="164"/>
      <c r="T260" s="164"/>
      <c r="U260" s="164"/>
    </row>
    <row r="261" spans="2:21" ht="13.95" customHeight="1" outlineLevel="1" x14ac:dyDescent="0.25">
      <c r="B261" s="9">
        <v>12</v>
      </c>
      <c r="C261" s="118" t="s">
        <v>342</v>
      </c>
      <c r="D261" s="118"/>
      <c r="E261" s="2"/>
      <c r="F261" s="2" t="s">
        <v>336</v>
      </c>
      <c r="G261" s="118" t="s">
        <v>344</v>
      </c>
      <c r="H261" s="50"/>
      <c r="I261" s="51">
        <v>238.57</v>
      </c>
      <c r="J261" s="51">
        <v>0.95</v>
      </c>
      <c r="K261" s="51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</row>
    <row r="262" spans="2:21" ht="13.95" customHeight="1" outlineLevel="1" x14ac:dyDescent="0.25">
      <c r="B262" s="9">
        <v>13</v>
      </c>
      <c r="C262" s="118" t="s">
        <v>345</v>
      </c>
      <c r="D262" s="118"/>
      <c r="E262" s="2"/>
      <c r="F262" s="2" t="s">
        <v>346</v>
      </c>
      <c r="G262" s="118" t="s">
        <v>347</v>
      </c>
      <c r="H262" s="50"/>
      <c r="I262" s="51">
        <v>470</v>
      </c>
      <c r="J262" s="51">
        <v>1.8</v>
      </c>
      <c r="K262" s="51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</row>
    <row r="263" spans="2:21" ht="13.95" customHeight="1" outlineLevel="1" x14ac:dyDescent="0.25">
      <c r="B263" s="9">
        <v>14</v>
      </c>
      <c r="C263" s="118" t="s">
        <v>348</v>
      </c>
      <c r="D263" s="118"/>
      <c r="E263" s="2"/>
      <c r="F263" s="2" t="s">
        <v>349</v>
      </c>
      <c r="G263" s="118" t="s">
        <v>369</v>
      </c>
      <c r="H263" s="50"/>
      <c r="I263" s="51">
        <v>490.4</v>
      </c>
      <c r="J263" s="51">
        <v>1.8</v>
      </c>
      <c r="K263" s="51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</row>
    <row r="264" spans="2:21" ht="13.95" customHeight="1" outlineLevel="1" x14ac:dyDescent="0.25">
      <c r="B264" s="9">
        <v>15</v>
      </c>
      <c r="C264" s="118" t="s">
        <v>350</v>
      </c>
      <c r="D264" s="118"/>
      <c r="E264" s="2"/>
      <c r="F264" s="2" t="s">
        <v>351</v>
      </c>
      <c r="G264" s="118" t="s">
        <v>352</v>
      </c>
      <c r="H264" s="50"/>
      <c r="I264" s="51">
        <v>249.49</v>
      </c>
      <c r="J264" s="51">
        <v>0.55000000000000004</v>
      </c>
      <c r="K264" s="51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</row>
    <row r="265" spans="2:21" ht="13.95" customHeight="1" outlineLevel="1" x14ac:dyDescent="0.25">
      <c r="B265" s="9">
        <v>16</v>
      </c>
      <c r="C265" s="118" t="s">
        <v>353</v>
      </c>
      <c r="D265" s="118"/>
      <c r="E265" s="2"/>
      <c r="F265" s="2" t="s">
        <v>319</v>
      </c>
      <c r="G265" s="118" t="s">
        <v>354</v>
      </c>
      <c r="H265" s="50"/>
      <c r="I265" s="51">
        <v>238.9</v>
      </c>
      <c r="J265" s="51">
        <v>1.7</v>
      </c>
      <c r="K265" s="51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</row>
    <row r="266" spans="2:21" ht="13.95" customHeight="1" outlineLevel="1" x14ac:dyDescent="0.25">
      <c r="B266" s="9">
        <v>17</v>
      </c>
      <c r="C266" s="118" t="s">
        <v>355</v>
      </c>
      <c r="D266" s="118"/>
      <c r="E266" s="2"/>
      <c r="F266" s="2" t="s">
        <v>319</v>
      </c>
      <c r="G266" s="118" t="s">
        <v>356</v>
      </c>
      <c r="H266" s="50"/>
      <c r="I266" s="51">
        <v>316</v>
      </c>
      <c r="J266" s="51">
        <v>1.6</v>
      </c>
      <c r="K266" s="51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</row>
    <row r="267" spans="2:21" ht="13.95" customHeight="1" outlineLevel="1" x14ac:dyDescent="0.25">
      <c r="B267" s="9">
        <v>18</v>
      </c>
      <c r="C267" s="118" t="s">
        <v>357</v>
      </c>
      <c r="D267" s="118"/>
      <c r="E267" s="2"/>
      <c r="F267" s="2" t="s">
        <v>358</v>
      </c>
      <c r="G267" s="118" t="s">
        <v>368</v>
      </c>
      <c r="H267" s="50"/>
      <c r="I267" s="51">
        <v>449.92</v>
      </c>
      <c r="J267" s="51">
        <v>0.73</v>
      </c>
      <c r="K267" s="51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</row>
    <row r="268" spans="2:21" ht="13.95" customHeight="1" outlineLevel="1" x14ac:dyDescent="0.25">
      <c r="B268" s="9">
        <v>19</v>
      </c>
      <c r="C268" s="118" t="s">
        <v>359</v>
      </c>
      <c r="D268" s="118"/>
      <c r="E268" s="2"/>
      <c r="F268" s="2" t="s">
        <v>363</v>
      </c>
      <c r="G268" s="118" t="s">
        <v>360</v>
      </c>
      <c r="H268" s="50"/>
      <c r="I268" s="51">
        <v>-15.88</v>
      </c>
      <c r="J268" s="51">
        <v>0.69</v>
      </c>
      <c r="K268" s="51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</row>
    <row r="269" spans="2:21" ht="13.95" customHeight="1" outlineLevel="1" x14ac:dyDescent="0.25">
      <c r="B269" s="9">
        <v>20</v>
      </c>
      <c r="C269" s="118" t="s">
        <v>361</v>
      </c>
      <c r="D269" s="118"/>
      <c r="E269" s="2"/>
      <c r="F269" s="2" t="s">
        <v>362</v>
      </c>
      <c r="G269" s="118" t="s">
        <v>364</v>
      </c>
      <c r="H269" s="50"/>
      <c r="I269" s="51">
        <v>-24.02</v>
      </c>
      <c r="J269" s="51">
        <v>0.64</v>
      </c>
      <c r="K269" s="51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</row>
    <row r="270" spans="2:21" ht="13.95" customHeight="1" outlineLevel="1" x14ac:dyDescent="0.25">
      <c r="B270" s="9">
        <v>21</v>
      </c>
      <c r="C270" s="118" t="s">
        <v>365</v>
      </c>
      <c r="D270" s="118"/>
      <c r="E270" s="2"/>
      <c r="F270" s="2" t="s">
        <v>366</v>
      </c>
      <c r="G270" s="118" t="s">
        <v>367</v>
      </c>
      <c r="H270" s="50"/>
      <c r="I270" s="51">
        <v>413.1</v>
      </c>
      <c r="J270" s="51">
        <v>1.6</v>
      </c>
      <c r="K270" s="51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</row>
    <row r="271" spans="2:21" ht="13.95" customHeight="1" outlineLevel="1" x14ac:dyDescent="0.25">
      <c r="B271" s="9">
        <v>22</v>
      </c>
      <c r="C271" s="118" t="s">
        <v>371</v>
      </c>
      <c r="D271" s="118"/>
      <c r="E271" s="2"/>
      <c r="F271" s="2" t="s">
        <v>372</v>
      </c>
      <c r="G271" s="118" t="s">
        <v>373</v>
      </c>
      <c r="H271" s="50"/>
      <c r="I271" s="51">
        <v>613</v>
      </c>
      <c r="J271" s="51">
        <v>1.7</v>
      </c>
      <c r="K271" s="51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</row>
    <row r="272" spans="2:21" ht="13.95" customHeight="1" outlineLevel="1" x14ac:dyDescent="0.25">
      <c r="B272" s="9">
        <v>23</v>
      </c>
      <c r="C272" s="118" t="s">
        <v>374</v>
      </c>
      <c r="D272" s="118"/>
      <c r="E272" s="2"/>
      <c r="F272" s="2" t="s">
        <v>375</v>
      </c>
      <c r="G272" s="118" t="s">
        <v>376</v>
      </c>
      <c r="H272" s="50"/>
      <c r="I272" s="51">
        <v>148.69999999999999</v>
      </c>
      <c r="J272" s="51">
        <v>1.1000000000000001</v>
      </c>
      <c r="K272" s="51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</row>
    <row r="273" spans="2:21" ht="13.95" customHeight="1" outlineLevel="1" x14ac:dyDescent="0.25">
      <c r="B273" s="9">
        <v>24</v>
      </c>
      <c r="C273" s="118" t="s">
        <v>377</v>
      </c>
      <c r="D273" s="118"/>
      <c r="E273" s="2"/>
      <c r="F273" s="2" t="s">
        <v>375</v>
      </c>
      <c r="G273" s="118" t="s">
        <v>378</v>
      </c>
      <c r="H273" s="50"/>
      <c r="I273" s="51">
        <v>177.08</v>
      </c>
      <c r="J273" s="51">
        <v>0.89</v>
      </c>
      <c r="K273" s="51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</row>
    <row r="274" spans="2:21" ht="13.95" customHeight="1" outlineLevel="1" x14ac:dyDescent="0.25">
      <c r="B274" s="9">
        <v>25</v>
      </c>
      <c r="C274" s="118" t="s">
        <v>379</v>
      </c>
      <c r="D274" s="118"/>
      <c r="E274" s="2"/>
      <c r="F274" s="2" t="s">
        <v>380</v>
      </c>
      <c r="G274" s="118" t="s">
        <v>381</v>
      </c>
      <c r="H274" s="50"/>
      <c r="I274" s="51">
        <v>191.96</v>
      </c>
      <c r="J274" s="51">
        <v>0.56999999999999995</v>
      </c>
      <c r="K274" s="51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</row>
    <row r="275" spans="2:21" ht="13.95" customHeight="1" outlineLevel="1" x14ac:dyDescent="0.25">
      <c r="B275" s="9">
        <v>26</v>
      </c>
      <c r="C275" s="118" t="s">
        <v>382</v>
      </c>
      <c r="D275" s="118"/>
      <c r="E275" s="2"/>
      <c r="F275" s="2" t="s">
        <v>383</v>
      </c>
      <c r="G275" s="118" t="s">
        <v>384</v>
      </c>
      <c r="H275" s="50"/>
      <c r="I275" s="51">
        <v>659.5</v>
      </c>
      <c r="J275" s="51">
        <v>3</v>
      </c>
      <c r="K275" s="51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</row>
    <row r="276" spans="2:21" ht="13.95" customHeight="1" outlineLevel="1" x14ac:dyDescent="0.25">
      <c r="B276" s="9">
        <v>27</v>
      </c>
      <c r="C276" s="118" t="s">
        <v>385</v>
      </c>
      <c r="D276" s="118"/>
      <c r="E276" s="2"/>
      <c r="F276" s="2" t="s">
        <v>386</v>
      </c>
      <c r="G276" s="118" t="s">
        <v>387</v>
      </c>
      <c r="H276" s="50"/>
      <c r="I276" s="51">
        <v>675.7</v>
      </c>
      <c r="J276" s="51">
        <v>3.6</v>
      </c>
      <c r="K276" s="51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</row>
    <row r="277" spans="2:21" ht="13.95" customHeight="1" outlineLevel="1" x14ac:dyDescent="0.25">
      <c r="B277" s="9">
        <v>28</v>
      </c>
      <c r="C277" s="118" t="s">
        <v>388</v>
      </c>
      <c r="D277" s="118"/>
      <c r="E277" s="2"/>
      <c r="F277" s="2" t="s">
        <v>389</v>
      </c>
      <c r="G277" s="118" t="s">
        <v>390</v>
      </c>
      <c r="H277" s="50"/>
      <c r="I277" s="51">
        <v>680.4</v>
      </c>
      <c r="J277" s="51">
        <v>1.9</v>
      </c>
      <c r="K277" s="51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</row>
    <row r="278" spans="2:21" ht="13.95" customHeight="1" outlineLevel="1" x14ac:dyDescent="0.25">
      <c r="B278" s="9">
        <v>29</v>
      </c>
      <c r="C278" s="118" t="s">
        <v>391</v>
      </c>
      <c r="D278" s="118"/>
      <c r="E278" s="2"/>
      <c r="F278" s="2" t="s">
        <v>392</v>
      </c>
      <c r="G278" s="118" t="s">
        <v>393</v>
      </c>
      <c r="H278" s="50"/>
      <c r="I278" s="51">
        <v>581.5</v>
      </c>
      <c r="J278" s="51">
        <v>2.4</v>
      </c>
      <c r="K278" s="51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</row>
    <row r="279" spans="2:21" ht="13.95" customHeight="1" outlineLevel="1" x14ac:dyDescent="0.25">
      <c r="B279" s="9">
        <v>30</v>
      </c>
      <c r="C279" s="118" t="s">
        <v>394</v>
      </c>
      <c r="D279" s="118"/>
      <c r="E279" s="2"/>
      <c r="F279" s="2" t="s">
        <v>395</v>
      </c>
      <c r="G279" s="118" t="s">
        <v>396</v>
      </c>
      <c r="H279" s="50"/>
      <c r="I279" s="51">
        <v>134.69999999999999</v>
      </c>
      <c r="J279" s="51">
        <v>1.5</v>
      </c>
      <c r="K279" s="51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</row>
    <row r="280" spans="2:21" ht="13.95" customHeight="1" outlineLevel="1" x14ac:dyDescent="0.25">
      <c r="B280" s="9">
        <v>31</v>
      </c>
      <c r="C280" s="118" t="s">
        <v>397</v>
      </c>
      <c r="D280" s="118"/>
      <c r="E280" s="2"/>
      <c r="F280" s="2" t="s">
        <v>398</v>
      </c>
      <c r="G280" s="118" t="s">
        <v>399</v>
      </c>
      <c r="H280" s="50"/>
      <c r="I280" s="51">
        <v>836.1</v>
      </c>
      <c r="J280" s="51">
        <v>3.6</v>
      </c>
      <c r="K280" s="51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</row>
    <row r="281" spans="2:21" ht="13.95" customHeight="1" outlineLevel="1" x14ac:dyDescent="0.25">
      <c r="B281" s="9">
        <v>32</v>
      </c>
      <c r="C281" s="118" t="s">
        <v>400</v>
      </c>
      <c r="D281" s="118"/>
      <c r="E281" s="2"/>
      <c r="F281" s="2" t="s">
        <v>401</v>
      </c>
      <c r="G281" s="118" t="s">
        <v>402</v>
      </c>
      <c r="H281" s="50"/>
      <c r="I281" s="51">
        <v>726.2</v>
      </c>
      <c r="J281" s="51">
        <v>4.9000000000000004</v>
      </c>
      <c r="K281" s="51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</row>
    <row r="282" spans="2:21" ht="13.95" customHeight="1" outlineLevel="1" x14ac:dyDescent="0.25">
      <c r="B282" s="9">
        <v>33</v>
      </c>
      <c r="C282" s="118" t="s">
        <v>403</v>
      </c>
      <c r="D282" s="118"/>
      <c r="E282" s="2"/>
      <c r="F282" s="2" t="s">
        <v>404</v>
      </c>
      <c r="G282" s="118" t="s">
        <v>405</v>
      </c>
      <c r="H282" s="50"/>
      <c r="I282" s="51">
        <v>581.9</v>
      </c>
      <c r="J282" s="51">
        <v>3</v>
      </c>
      <c r="K282" s="51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</row>
    <row r="283" spans="2:21" ht="13.95" customHeight="1" outlineLevel="1" x14ac:dyDescent="0.25">
      <c r="B283" s="9">
        <v>34</v>
      </c>
      <c r="C283" s="118" t="s">
        <v>409</v>
      </c>
      <c r="D283" s="118"/>
      <c r="E283" s="2"/>
      <c r="F283" s="2" t="s">
        <v>410</v>
      </c>
      <c r="G283" s="118" t="s">
        <v>411</v>
      </c>
      <c r="H283" s="50"/>
      <c r="I283" s="51">
        <v>763.6</v>
      </c>
      <c r="J283" s="51">
        <v>2.4</v>
      </c>
      <c r="K283" s="51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</row>
    <row r="284" spans="2:21" ht="13.95" customHeight="1" outlineLevel="1" x14ac:dyDescent="0.25">
      <c r="B284" s="9"/>
      <c r="C284" s="118"/>
      <c r="D284" s="118"/>
      <c r="E284" s="2"/>
      <c r="F284" s="2"/>
      <c r="G284" s="118"/>
      <c r="H284" s="50"/>
      <c r="I284" s="51"/>
      <c r="J284" s="51"/>
      <c r="K284" s="51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</row>
    <row r="285" spans="2:21" ht="15.6" x14ac:dyDescent="0.3">
      <c r="B285" s="21" t="s">
        <v>291</v>
      </c>
      <c r="C285" s="121"/>
      <c r="D285" s="121"/>
      <c r="E285" s="18"/>
      <c r="F285" s="18"/>
      <c r="G285" s="121"/>
      <c r="H285" s="57"/>
      <c r="I285" s="57"/>
      <c r="J285" s="57"/>
      <c r="K285" s="57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</row>
    <row r="286" spans="2:21" ht="13.95" customHeight="1" outlineLevel="1" x14ac:dyDescent="0.25">
      <c r="B286" s="9">
        <v>1</v>
      </c>
      <c r="C286" s="116" t="s">
        <v>460</v>
      </c>
      <c r="F286" s="3" t="s">
        <v>466</v>
      </c>
      <c r="G286" s="116" t="s">
        <v>461</v>
      </c>
      <c r="I286" s="55">
        <v>-134.16</v>
      </c>
      <c r="J286" s="55">
        <v>0.18</v>
      </c>
    </row>
    <row r="287" spans="2:21" ht="13.95" customHeight="1" outlineLevel="1" x14ac:dyDescent="0.25">
      <c r="B287" s="9">
        <v>2</v>
      </c>
      <c r="C287" s="116" t="s">
        <v>462</v>
      </c>
      <c r="F287" s="3" t="s">
        <v>467</v>
      </c>
      <c r="G287" s="116" t="s">
        <v>463</v>
      </c>
      <c r="I287" s="55">
        <v>127.38</v>
      </c>
      <c r="J287" s="55">
        <v>0.38</v>
      </c>
    </row>
    <row r="288" spans="2:21" ht="13.95" customHeight="1" outlineLevel="1" x14ac:dyDescent="0.25">
      <c r="B288" s="9">
        <v>3</v>
      </c>
      <c r="C288" s="116" t="s">
        <v>464</v>
      </c>
      <c r="F288" s="3" t="s">
        <v>465</v>
      </c>
      <c r="G288" s="116" t="s">
        <v>468</v>
      </c>
      <c r="I288" s="55">
        <v>106.93</v>
      </c>
      <c r="J288" s="55">
        <v>0.11</v>
      </c>
    </row>
    <row r="289" spans="2:10" ht="13.95" customHeight="1" outlineLevel="1" x14ac:dyDescent="0.25">
      <c r="B289" s="9">
        <v>4</v>
      </c>
      <c r="C289" s="116" t="s">
        <v>469</v>
      </c>
      <c r="F289" s="3" t="s">
        <v>470</v>
      </c>
      <c r="G289" s="116" t="s">
        <v>471</v>
      </c>
      <c r="I289" s="55">
        <v>82.573999999999998</v>
      </c>
      <c r="J289" s="55">
        <v>0.1</v>
      </c>
    </row>
    <row r="290" spans="2:10" ht="13.95" customHeight="1" outlineLevel="1" x14ac:dyDescent="0.25">
      <c r="B290" s="1">
        <v>5</v>
      </c>
      <c r="C290" s="116" t="s">
        <v>476</v>
      </c>
      <c r="F290" s="3" t="s">
        <v>473</v>
      </c>
      <c r="G290" s="116" t="s">
        <v>474</v>
      </c>
      <c r="I290" s="55">
        <v>-43.49</v>
      </c>
      <c r="J290" s="55">
        <v>0.49</v>
      </c>
    </row>
    <row r="291" spans="2:10" ht="13.95" customHeight="1" outlineLevel="1" x14ac:dyDescent="0.25">
      <c r="B291" s="1"/>
      <c r="C291" s="116" t="s">
        <v>472</v>
      </c>
      <c r="F291" s="3" t="s">
        <v>473</v>
      </c>
      <c r="G291" s="116" t="s">
        <v>477</v>
      </c>
      <c r="I291" s="55">
        <v>-43.5</v>
      </c>
      <c r="J291" s="55">
        <v>0.49</v>
      </c>
    </row>
    <row r="292" spans="2:10" ht="13.95" customHeight="1" outlineLevel="1" x14ac:dyDescent="0.25">
      <c r="B292" s="1"/>
      <c r="C292" s="116" t="s">
        <v>475</v>
      </c>
      <c r="F292" s="3" t="s">
        <v>473</v>
      </c>
      <c r="G292" s="116" t="s">
        <v>478</v>
      </c>
      <c r="I292" s="55">
        <v>-25.2</v>
      </c>
      <c r="J292" s="55">
        <v>1.5</v>
      </c>
    </row>
    <row r="293" spans="2:10" ht="13.95" customHeight="1" outlineLevel="1" x14ac:dyDescent="0.25">
      <c r="B293" s="9">
        <v>6</v>
      </c>
      <c r="C293" s="116" t="s">
        <v>479</v>
      </c>
      <c r="F293" s="3" t="s">
        <v>480</v>
      </c>
      <c r="G293" s="116" t="s">
        <v>481</v>
      </c>
      <c r="I293" s="55">
        <v>-119.03</v>
      </c>
      <c r="J293" s="55">
        <v>0.37</v>
      </c>
    </row>
    <row r="294" spans="2:10" ht="13.95" customHeight="1" outlineLevel="1" x14ac:dyDescent="0.25">
      <c r="B294" s="1">
        <v>7</v>
      </c>
      <c r="C294" s="116" t="s">
        <v>485</v>
      </c>
      <c r="F294" s="3" t="s">
        <v>483</v>
      </c>
      <c r="G294" s="116" t="s">
        <v>484</v>
      </c>
      <c r="I294" s="55">
        <v>94.7</v>
      </c>
      <c r="J294" s="55">
        <v>1</v>
      </c>
    </row>
    <row r="295" spans="2:10" ht="13.95" customHeight="1" outlineLevel="1" x14ac:dyDescent="0.25">
      <c r="B295" s="1"/>
      <c r="C295" s="116" t="s">
        <v>482</v>
      </c>
      <c r="F295" s="3" t="s">
        <v>483</v>
      </c>
      <c r="G295" s="116" t="s">
        <v>484</v>
      </c>
      <c r="I295" s="55">
        <v>94.7</v>
      </c>
      <c r="J295" s="55">
        <v>1</v>
      </c>
    </row>
    <row r="296" spans="2:10" ht="13.95" customHeight="1" outlineLevel="1" x14ac:dyDescent="0.25">
      <c r="B296" s="1"/>
      <c r="C296" s="116" t="s">
        <v>486</v>
      </c>
      <c r="F296" s="3" t="s">
        <v>483</v>
      </c>
      <c r="G296" s="116" t="s">
        <v>487</v>
      </c>
      <c r="I296" s="55">
        <v>117</v>
      </c>
      <c r="J296" s="55">
        <v>1.4</v>
      </c>
    </row>
    <row r="297" spans="2:10" ht="13.95" customHeight="1" outlineLevel="1" x14ac:dyDescent="0.25">
      <c r="B297" s="9">
        <v>8</v>
      </c>
      <c r="C297" s="116" t="s">
        <v>488</v>
      </c>
      <c r="F297" s="3" t="s">
        <v>489</v>
      </c>
      <c r="G297" s="116" t="s">
        <v>490</v>
      </c>
      <c r="I297" s="55">
        <v>64.73</v>
      </c>
      <c r="J297" s="55">
        <v>0.85</v>
      </c>
    </row>
    <row r="298" spans="2:10" ht="13.95" customHeight="1" outlineLevel="1" x14ac:dyDescent="0.25">
      <c r="B298" s="1">
        <v>9</v>
      </c>
      <c r="C298" s="116" t="s">
        <v>491</v>
      </c>
      <c r="F298" s="3" t="s">
        <v>466</v>
      </c>
      <c r="G298" s="116" t="s">
        <v>492</v>
      </c>
      <c r="I298" s="55">
        <v>-12.77</v>
      </c>
      <c r="J298" s="55">
        <v>0.37</v>
      </c>
    </row>
    <row r="299" spans="2:10" ht="13.95" customHeight="1" outlineLevel="1" x14ac:dyDescent="0.25">
      <c r="B299" s="1"/>
      <c r="C299" s="116" t="s">
        <v>493</v>
      </c>
      <c r="F299" s="3" t="s">
        <v>466</v>
      </c>
      <c r="G299" s="116" t="s">
        <v>494</v>
      </c>
      <c r="I299" s="55">
        <v>-14.58</v>
      </c>
      <c r="J299" s="55">
        <v>0.37</v>
      </c>
    </row>
    <row r="300" spans="2:10" ht="13.95" customHeight="1" outlineLevel="1" x14ac:dyDescent="0.25">
      <c r="B300" s="1"/>
      <c r="C300" s="116" t="s">
        <v>495</v>
      </c>
      <c r="F300" s="3" t="s">
        <v>466</v>
      </c>
      <c r="G300" s="116" t="s">
        <v>496</v>
      </c>
      <c r="I300" s="55">
        <v>0.48</v>
      </c>
      <c r="J300" s="55">
        <v>0.42</v>
      </c>
    </row>
    <row r="301" spans="2:10" ht="13.95" customHeight="1" outlineLevel="1" x14ac:dyDescent="0.25">
      <c r="B301" s="1"/>
      <c r="C301" s="116" t="s">
        <v>497</v>
      </c>
      <c r="F301" s="3" t="s">
        <v>466</v>
      </c>
      <c r="G301" s="116" t="s">
        <v>498</v>
      </c>
      <c r="I301" s="55">
        <v>-7.63</v>
      </c>
      <c r="J301" s="55">
        <v>0.53</v>
      </c>
    </row>
    <row r="302" spans="2:10" ht="13.95" customHeight="1" outlineLevel="1" x14ac:dyDescent="0.25">
      <c r="B302" s="9">
        <v>10</v>
      </c>
      <c r="C302" s="116" t="s">
        <v>499</v>
      </c>
      <c r="F302" s="3" t="s">
        <v>500</v>
      </c>
      <c r="G302" s="116" t="s">
        <v>501</v>
      </c>
      <c r="I302" s="55">
        <v>86.09</v>
      </c>
      <c r="J302" s="55">
        <v>0.15</v>
      </c>
    </row>
    <row r="303" spans="2:10" ht="13.95" customHeight="1" outlineLevel="1" x14ac:dyDescent="0.25">
      <c r="B303" s="1">
        <v>11</v>
      </c>
      <c r="C303" s="116" t="s">
        <v>502</v>
      </c>
      <c r="F303" s="3" t="s">
        <v>500</v>
      </c>
      <c r="G303" s="116" t="s">
        <v>503</v>
      </c>
      <c r="I303" s="55">
        <v>86.6</v>
      </c>
      <c r="J303" s="55">
        <v>1.6</v>
      </c>
    </row>
    <row r="304" spans="2:10" ht="13.95" customHeight="1" outlineLevel="1" x14ac:dyDescent="0.25">
      <c r="B304" s="1"/>
      <c r="C304" s="116" t="s">
        <v>502</v>
      </c>
      <c r="F304" s="3" t="s">
        <v>504</v>
      </c>
      <c r="G304" s="116" t="s">
        <v>503</v>
      </c>
      <c r="I304" s="55">
        <v>86.1</v>
      </c>
      <c r="J304" s="55">
        <v>1.6</v>
      </c>
    </row>
    <row r="305" spans="2:22" ht="13.95" customHeight="1" outlineLevel="1" x14ac:dyDescent="0.25">
      <c r="B305" s="1"/>
      <c r="C305" s="116" t="s">
        <v>502</v>
      </c>
      <c r="F305" s="3" t="s">
        <v>505</v>
      </c>
      <c r="G305" s="116" t="s">
        <v>503</v>
      </c>
      <c r="I305" s="55">
        <v>104.2</v>
      </c>
      <c r="J305" s="55">
        <v>1.8</v>
      </c>
    </row>
    <row r="306" spans="2:22" ht="13.95" customHeight="1" outlineLevel="1" x14ac:dyDescent="0.25">
      <c r="B306" s="9">
        <v>12</v>
      </c>
      <c r="C306" s="116" t="s">
        <v>506</v>
      </c>
      <c r="F306" s="3" t="s">
        <v>507</v>
      </c>
      <c r="G306" s="116" t="s">
        <v>508</v>
      </c>
      <c r="I306" s="55">
        <v>14.76</v>
      </c>
      <c r="J306" s="55">
        <v>0.35</v>
      </c>
    </row>
    <row r="307" spans="2:22" ht="13.95" customHeight="1" outlineLevel="1" x14ac:dyDescent="0.25">
      <c r="B307" s="9">
        <v>13</v>
      </c>
      <c r="C307" s="116" t="s">
        <v>515</v>
      </c>
      <c r="F307" s="3" t="s">
        <v>510</v>
      </c>
      <c r="G307" s="116" t="s">
        <v>511</v>
      </c>
      <c r="I307" s="55">
        <v>169.3</v>
      </c>
      <c r="J307" s="55">
        <v>1.2</v>
      </c>
    </row>
    <row r="308" spans="2:22" ht="13.95" customHeight="1" outlineLevel="1" x14ac:dyDescent="0.25">
      <c r="B308" s="9">
        <v>14</v>
      </c>
      <c r="C308" s="116" t="s">
        <v>512</v>
      </c>
      <c r="F308" s="3" t="s">
        <v>513</v>
      </c>
      <c r="G308" s="116" t="s">
        <v>514</v>
      </c>
      <c r="I308" s="55">
        <v>-14.8</v>
      </c>
      <c r="J308" s="55">
        <v>1</v>
      </c>
    </row>
    <row r="309" spans="2:22" ht="13.95" customHeight="1" outlineLevel="1" x14ac:dyDescent="0.25">
      <c r="B309" s="9">
        <v>15</v>
      </c>
      <c r="C309" s="116" t="s">
        <v>509</v>
      </c>
      <c r="F309" s="3" t="s">
        <v>516</v>
      </c>
      <c r="G309" s="116" t="s">
        <v>517</v>
      </c>
      <c r="I309" s="55">
        <v>233.2</v>
      </c>
      <c r="J309" s="55">
        <v>1.1000000000000001</v>
      </c>
    </row>
    <row r="310" spans="2:22" ht="13.95" customHeight="1" outlineLevel="1" x14ac:dyDescent="0.25">
      <c r="B310" s="9">
        <v>16</v>
      </c>
      <c r="C310" s="116" t="s">
        <v>518</v>
      </c>
      <c r="F310" s="3" t="s">
        <v>519</v>
      </c>
      <c r="G310" s="116" t="s">
        <v>520</v>
      </c>
      <c r="I310" s="55">
        <v>390</v>
      </c>
      <c r="J310" s="55">
        <v>1.7</v>
      </c>
    </row>
    <row r="311" spans="2:22" ht="13.95" customHeight="1" outlineLevel="1" x14ac:dyDescent="0.25">
      <c r="B311" s="9">
        <v>17</v>
      </c>
      <c r="C311" s="116" t="s">
        <v>521</v>
      </c>
      <c r="F311" s="3" t="s">
        <v>519</v>
      </c>
      <c r="G311" s="116" t="s">
        <v>522</v>
      </c>
      <c r="I311" s="55">
        <v>451.5</v>
      </c>
      <c r="J311" s="55">
        <v>1.7</v>
      </c>
    </row>
    <row r="312" spans="2:22" ht="13.95" customHeight="1" outlineLevel="1" x14ac:dyDescent="0.25">
      <c r="B312" s="9">
        <v>18</v>
      </c>
      <c r="C312" s="116" t="s">
        <v>523</v>
      </c>
      <c r="F312" s="3" t="s">
        <v>524</v>
      </c>
      <c r="G312" s="116" t="s">
        <v>525</v>
      </c>
      <c r="I312" s="55">
        <v>350.6</v>
      </c>
      <c r="J312" s="55">
        <v>1.8</v>
      </c>
    </row>
    <row r="313" spans="2:22" ht="13.95" customHeight="1" outlineLevel="1" x14ac:dyDescent="0.25">
      <c r="B313" s="9">
        <v>19</v>
      </c>
      <c r="C313" s="116" t="s">
        <v>526</v>
      </c>
      <c r="F313" s="3" t="s">
        <v>524</v>
      </c>
      <c r="G313" s="116" t="s">
        <v>527</v>
      </c>
      <c r="I313" s="55">
        <v>540.6</v>
      </c>
      <c r="J313" s="55">
        <v>1.8</v>
      </c>
    </row>
    <row r="314" spans="2:22" ht="13.95" customHeight="1" outlineLevel="1" x14ac:dyDescent="0.25">
      <c r="B314" s="9">
        <v>20</v>
      </c>
      <c r="C314" s="116" t="s">
        <v>528</v>
      </c>
      <c r="F314" s="3" t="s">
        <v>465</v>
      </c>
      <c r="G314" s="116" t="s">
        <v>529</v>
      </c>
      <c r="I314" s="55">
        <v>214.52</v>
      </c>
      <c r="J314" s="55">
        <v>0.95</v>
      </c>
    </row>
    <row r="315" spans="2:22" ht="13.95" customHeight="1" outlineLevel="1" x14ac:dyDescent="0.25">
      <c r="B315" s="9">
        <v>21</v>
      </c>
      <c r="C315" s="116" t="s">
        <v>530</v>
      </c>
      <c r="F315" s="3" t="s">
        <v>531</v>
      </c>
      <c r="G315" s="116" t="s">
        <v>532</v>
      </c>
      <c r="I315" s="55">
        <v>10.8</v>
      </c>
      <c r="J315" s="55">
        <v>0.14000000000000001</v>
      </c>
    </row>
    <row r="316" spans="2:22" ht="13.95" customHeight="1" outlineLevel="1" x14ac:dyDescent="0.25">
      <c r="B316" s="1">
        <v>22</v>
      </c>
      <c r="C316" s="116" t="s">
        <v>533</v>
      </c>
      <c r="F316" s="3" t="s">
        <v>534</v>
      </c>
      <c r="G316" s="116" t="s">
        <v>535</v>
      </c>
      <c r="I316" s="55">
        <v>-78.7</v>
      </c>
      <c r="J316" s="55">
        <v>7.8E-2</v>
      </c>
    </row>
    <row r="317" spans="2:22" ht="13.95" customHeight="1" outlineLevel="1" x14ac:dyDescent="0.25">
      <c r="B317" s="1"/>
      <c r="C317" s="116" t="s">
        <v>536</v>
      </c>
      <c r="F317" s="3" t="s">
        <v>534</v>
      </c>
      <c r="G317" s="116" t="s">
        <v>538</v>
      </c>
      <c r="I317" s="55">
        <v>-79.19</v>
      </c>
      <c r="J317" s="55">
        <v>0.08</v>
      </c>
    </row>
    <row r="318" spans="2:22" ht="13.95" customHeight="1" outlineLevel="1" x14ac:dyDescent="0.25">
      <c r="B318" s="1"/>
      <c r="C318" s="116" t="s">
        <v>537</v>
      </c>
      <c r="F318" s="3" t="s">
        <v>534</v>
      </c>
      <c r="G318" s="116" t="s">
        <v>539</v>
      </c>
      <c r="I318" s="55">
        <v>-77.760000000000005</v>
      </c>
      <c r="J318" s="55">
        <v>0.33</v>
      </c>
    </row>
    <row r="319" spans="2:22" ht="13.95" customHeight="1" outlineLevel="1" x14ac:dyDescent="0.25">
      <c r="B319" s="9">
        <v>23</v>
      </c>
      <c r="C319" s="116" t="s">
        <v>541</v>
      </c>
      <c r="F319" s="3" t="s">
        <v>531</v>
      </c>
      <c r="G319" s="116" t="s">
        <v>540</v>
      </c>
      <c r="I319" s="55">
        <v>51.8</v>
      </c>
      <c r="J319" s="55">
        <v>2.2000000000000002</v>
      </c>
    </row>
    <row r="320" spans="2:22" s="7" customFormat="1" ht="13.95" customHeight="1" outlineLevel="1" x14ac:dyDescent="0.25">
      <c r="B320" s="9">
        <v>24</v>
      </c>
      <c r="C320" s="122" t="s">
        <v>542</v>
      </c>
      <c r="D320" s="122"/>
      <c r="F320" s="7" t="s">
        <v>544</v>
      </c>
      <c r="G320" s="122" t="s">
        <v>543</v>
      </c>
      <c r="H320" s="53"/>
      <c r="I320" s="52">
        <v>61.1</v>
      </c>
      <c r="J320" s="52">
        <v>1.7</v>
      </c>
      <c r="K320" s="52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22"/>
    </row>
    <row r="321" spans="2:21" ht="13.95" customHeight="1" outlineLevel="1" x14ac:dyDescent="0.25">
      <c r="B321" s="9">
        <v>25</v>
      </c>
      <c r="C321" s="116" t="s">
        <v>545</v>
      </c>
      <c r="F321" s="3" t="s">
        <v>546</v>
      </c>
      <c r="G321" s="116" t="s">
        <v>547</v>
      </c>
      <c r="I321" s="55">
        <v>198.6</v>
      </c>
      <c r="J321" s="55">
        <v>1.5</v>
      </c>
    </row>
    <row r="322" spans="2:21" ht="13.95" customHeight="1" outlineLevel="1" x14ac:dyDescent="0.25">
      <c r="B322" s="9">
        <v>26</v>
      </c>
      <c r="C322" s="116" t="s">
        <v>548</v>
      </c>
      <c r="F322" s="3" t="s">
        <v>549</v>
      </c>
      <c r="G322" s="116" t="s">
        <v>550</v>
      </c>
      <c r="I322" s="55">
        <v>171.06</v>
      </c>
      <c r="J322" s="55">
        <v>0.14000000000000001</v>
      </c>
    </row>
    <row r="323" spans="2:21" ht="13.95" customHeight="1" outlineLevel="1" x14ac:dyDescent="0.25">
      <c r="B323" s="9"/>
    </row>
    <row r="324" spans="2:21" ht="15.6" x14ac:dyDescent="0.3">
      <c r="B324" s="21" t="s">
        <v>79</v>
      </c>
      <c r="C324" s="121"/>
      <c r="D324" s="121"/>
      <c r="E324" s="18"/>
      <c r="F324" s="18"/>
      <c r="G324" s="121"/>
      <c r="H324" s="57"/>
      <c r="I324" s="57"/>
      <c r="J324" s="57"/>
      <c r="K324" s="57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</row>
    <row r="325" spans="2:21" outlineLevel="1" x14ac:dyDescent="0.25">
      <c r="B325" s="8">
        <v>1</v>
      </c>
      <c r="C325" s="116" t="s">
        <v>80</v>
      </c>
      <c r="F325" s="3" t="s">
        <v>81</v>
      </c>
      <c r="G325" s="116" t="s">
        <v>82</v>
      </c>
      <c r="I325" s="55">
        <v>-241.83</v>
      </c>
      <c r="J325" s="55">
        <v>0.03</v>
      </c>
    </row>
    <row r="326" spans="2:21" outlineLevel="1" x14ac:dyDescent="0.25">
      <c r="B326" s="8">
        <v>2</v>
      </c>
      <c r="C326" s="116" t="s">
        <v>83</v>
      </c>
      <c r="F326" s="3" t="s">
        <v>85</v>
      </c>
      <c r="G326" s="116" t="s">
        <v>84</v>
      </c>
      <c r="I326" s="55">
        <v>-110.52200000000001</v>
      </c>
      <c r="J326" s="55">
        <v>2.5999999999999999E-2</v>
      </c>
    </row>
    <row r="327" spans="2:21" outlineLevel="1" x14ac:dyDescent="0.25">
      <c r="B327" s="8">
        <v>3</v>
      </c>
      <c r="C327" s="116" t="s">
        <v>86</v>
      </c>
      <c r="F327" s="3" t="s">
        <v>88</v>
      </c>
      <c r="G327" s="116" t="s">
        <v>87</v>
      </c>
      <c r="I327" s="55">
        <v>49.6</v>
      </c>
      <c r="J327" s="55">
        <v>1.4999999999999999E-2</v>
      </c>
    </row>
    <row r="328" spans="2:21" outlineLevel="1" x14ac:dyDescent="0.25">
      <c r="B328" s="8">
        <v>4</v>
      </c>
      <c r="C328" s="116" t="s">
        <v>292</v>
      </c>
      <c r="F328" s="3" t="s">
        <v>293</v>
      </c>
      <c r="G328" s="116" t="s">
        <v>294</v>
      </c>
      <c r="I328" s="55">
        <v>34.018999999999998</v>
      </c>
      <c r="J328" s="55">
        <v>6.4000000000000001E-2</v>
      </c>
    </row>
    <row r="329" spans="2:21" outlineLevel="1" x14ac:dyDescent="0.25">
      <c r="B329" s="8">
        <v>5</v>
      </c>
      <c r="C329" s="116" t="s">
        <v>295</v>
      </c>
      <c r="F329" s="3" t="s">
        <v>296</v>
      </c>
      <c r="G329" s="116" t="s">
        <v>297</v>
      </c>
      <c r="I329" s="55">
        <v>-45.561</v>
      </c>
      <c r="J329" s="55">
        <v>0.03</v>
      </c>
    </row>
    <row r="330" spans="2:21" outlineLevel="1" x14ac:dyDescent="0.25">
      <c r="B330" s="8">
        <v>6</v>
      </c>
      <c r="C330" s="116" t="s">
        <v>298</v>
      </c>
      <c r="F330" s="3" t="s">
        <v>299</v>
      </c>
      <c r="G330" s="116" t="s">
        <v>300</v>
      </c>
      <c r="I330" s="55">
        <v>91.09</v>
      </c>
      <c r="J330" s="55">
        <v>6.4000000000000001E-2</v>
      </c>
    </row>
    <row r="331" spans="2:21" outlineLevel="1" x14ac:dyDescent="0.25">
      <c r="B331" s="8">
        <v>7</v>
      </c>
      <c r="C331" s="116" t="s">
        <v>301</v>
      </c>
      <c r="F331" s="3" t="s">
        <v>302</v>
      </c>
      <c r="G331" s="116" t="s">
        <v>303</v>
      </c>
      <c r="I331" s="55">
        <v>358.79</v>
      </c>
      <c r="J331" s="55">
        <v>0.17</v>
      </c>
    </row>
    <row r="332" spans="2:21" outlineLevel="1" x14ac:dyDescent="0.25">
      <c r="B332" s="8">
        <v>8</v>
      </c>
      <c r="C332" s="116" t="s">
        <v>304</v>
      </c>
      <c r="F332" s="3" t="s">
        <v>305</v>
      </c>
      <c r="G332" s="116" t="s">
        <v>306</v>
      </c>
      <c r="I332" s="55">
        <v>440</v>
      </c>
      <c r="J332" s="55">
        <v>0.15</v>
      </c>
    </row>
    <row r="333" spans="2:21" outlineLevel="1" x14ac:dyDescent="0.25">
      <c r="B333" s="8">
        <v>9</v>
      </c>
      <c r="C333" s="116" t="s">
        <v>412</v>
      </c>
      <c r="F333" s="3" t="s">
        <v>413</v>
      </c>
      <c r="G333" s="116" t="s">
        <v>414</v>
      </c>
      <c r="I333" s="55">
        <v>37.49</v>
      </c>
      <c r="J333" s="55">
        <v>0.03</v>
      </c>
    </row>
    <row r="334" spans="2:21" outlineLevel="1" x14ac:dyDescent="0.25">
      <c r="B334" s="8">
        <v>10</v>
      </c>
      <c r="C334" s="116" t="s">
        <v>420</v>
      </c>
      <c r="F334" s="3" t="s">
        <v>421</v>
      </c>
      <c r="G334" s="116" t="s">
        <v>422</v>
      </c>
      <c r="I334" s="55">
        <v>12.25</v>
      </c>
      <c r="J334" s="55">
        <v>0.16</v>
      </c>
    </row>
    <row r="335" spans="2:21" outlineLevel="1" x14ac:dyDescent="0.25">
      <c r="B335" s="8">
        <v>11</v>
      </c>
      <c r="C335" s="116" t="s">
        <v>423</v>
      </c>
      <c r="F335" s="3" t="s">
        <v>424</v>
      </c>
      <c r="G335" s="116" t="s">
        <v>425</v>
      </c>
      <c r="I335" s="55">
        <v>-135.44999999999999</v>
      </c>
      <c r="J335" s="55">
        <v>0.06</v>
      </c>
    </row>
    <row r="336" spans="2:21" outlineLevel="1" x14ac:dyDescent="0.25">
      <c r="B336" s="8">
        <v>12</v>
      </c>
      <c r="C336" s="116" t="s">
        <v>458</v>
      </c>
      <c r="F336" s="3" t="s">
        <v>459</v>
      </c>
      <c r="G336" s="116" t="s">
        <v>13</v>
      </c>
      <c r="I336" s="55">
        <v>94.38</v>
      </c>
      <c r="J336" s="55">
        <v>0</v>
      </c>
    </row>
    <row r="337" outlineLevel="1" x14ac:dyDescent="0.25"/>
  </sheetData>
  <mergeCells count="27">
    <mergeCell ref="B241:B243"/>
    <mergeCell ref="B168:B170"/>
    <mergeCell ref="B171:B173"/>
    <mergeCell ref="B174:B176"/>
    <mergeCell ref="B177:B179"/>
    <mergeCell ref="B181:B183"/>
    <mergeCell ref="B201:B202"/>
    <mergeCell ref="B210:B212"/>
    <mergeCell ref="B203:B207"/>
    <mergeCell ref="B218:B220"/>
    <mergeCell ref="B221:B222"/>
    <mergeCell ref="B223:B225"/>
    <mergeCell ref="B227:B228"/>
    <mergeCell ref="B193:B195"/>
    <mergeCell ref="B196:B198"/>
    <mergeCell ref="B185:B187"/>
    <mergeCell ref="B188:B190"/>
    <mergeCell ref="F142:F143"/>
    <mergeCell ref="P4:Q4"/>
    <mergeCell ref="R4:S4"/>
    <mergeCell ref="T4:U4"/>
    <mergeCell ref="B4:B5"/>
    <mergeCell ref="C4:C5"/>
    <mergeCell ref="F4:F5"/>
    <mergeCell ref="G4:G5"/>
    <mergeCell ref="H4:J4"/>
    <mergeCell ref="K4:M4"/>
  </mergeCells>
  <hyperlinks>
    <hyperlink ref="C72" r:id="rId1" display="https://atct.anl.gov/Thermochemical Data/version 1.122/species/?species_number=229" xr:uid="{00000000-0004-0000-0000-000000000000}"/>
    <hyperlink ref="C60" r:id="rId2" display="https://atct.anl.gov/Thermochemical Data/version 1.122/species/?species_number=151" xr:uid="{00000000-0004-0000-0000-000001000000}"/>
    <hyperlink ref="C68" r:id="rId3" display="https://atct.anl.gov/Thermochemical Data/version 1.122/species/?species_number=445" xr:uid="{00000000-0004-0000-0000-000002000000}"/>
    <hyperlink ref="D68" r:id="rId4" display="https://atct.anl.gov/Thermochemical Data/version 1.122/species/?species_number=445" xr:uid="{00000000-0004-0000-0000-000003000000}"/>
    <hyperlink ref="C81" r:id="rId5" display="https://atct.anl.gov/Thermochemical Data/version 1.122/species/?species_number=173" xr:uid="{00000000-0004-0000-0000-000004000000}"/>
    <hyperlink ref="C82" r:id="rId6" display="https://atct.anl.gov/Thermochemical Data/version 1.122/species/?species_number=286" xr:uid="{00000000-0004-0000-0000-000005000000}"/>
    <hyperlink ref="C83" r:id="rId7" display="https://atct.anl.gov/Thermochemical Data/version 1.122/species/?species_number=329" xr:uid="{00000000-0004-0000-0000-000006000000}"/>
    <hyperlink ref="C33" r:id="rId8" display="https://atct.anl.gov/Thermochemical Data/version 1.122/species/?species_number=119" xr:uid="{00000000-0004-0000-0000-000007000000}"/>
    <hyperlink ref="C47" r:id="rId9" display="https://atct.anl.gov/Thermochemical Data/version 1.122/species/?species_number=101" xr:uid="{00000000-0004-0000-0000-000008000000}"/>
    <hyperlink ref="C48" r:id="rId10" display="https://atct.anl.gov/Thermochemical Data/version 1.122/species/?species_number=281" xr:uid="{00000000-0004-0000-0000-000009000000}"/>
    <hyperlink ref="C49" r:id="rId11" display="https://atct.anl.gov/Thermochemical Data/version 1.122/species/?species_number=438" xr:uid="{00000000-0004-0000-0000-00000A000000}"/>
    <hyperlink ref="C50" r:id="rId12" display="https://atct.anl.gov/Thermochemical Data/version 1.122/species/?species_number=439" xr:uid="{00000000-0004-0000-0000-00000B000000}"/>
    <hyperlink ref="C53" r:id="rId13" display="https://atct.anl.gov/Thermochemical Data/version 1.122/species/?species_number=374" xr:uid="{00000000-0004-0000-0000-00000C000000}"/>
    <hyperlink ref="C58" r:id="rId14" display="https://atct.anl.gov/Thermochemical Data/version 1.122/species/?species_number=437" xr:uid="{00000000-0004-0000-0000-00000D000000}"/>
    <hyperlink ref="C74" r:id="rId15" display="https://atct.anl.gov/Thermochemical Data/version 1.122/species/?species_number=444" xr:uid="{00000000-0004-0000-0000-00000E000000}"/>
    <hyperlink ref="C78" r:id="rId16" display="https://atct.anl.gov/Thermochemical Data/version 1.122/species/?species_number=234" xr:uid="{00000000-0004-0000-0000-00000F000000}"/>
    <hyperlink ref="C87" r:id="rId17" display="https://atct.anl.gov/Thermochemical Data/version 1.122/species/?species_number=330" xr:uid="{00000000-0004-0000-0000-000010000000}"/>
    <hyperlink ref="C93" r:id="rId18" display="https://atct.anl.gov/Thermochemical Data/version 1.122/species/?species_number=1160" xr:uid="{00000000-0004-0000-0000-000011000000}"/>
    <hyperlink ref="C156" r:id="rId19" display="https://atct.anl.gov/Thermochemical Data/version 1.122/species/?species_number=50" xr:uid="{00000000-0004-0000-0000-000012000000}"/>
    <hyperlink ref="C153" r:id="rId20" display="https://atct.anl.gov/Thermochemical Data/version 1.122/species/?species_number=52" xr:uid="{00000000-0004-0000-0000-000013000000}"/>
    <hyperlink ref="C158" r:id="rId21" display="https://atct.anl.gov/Thermochemical Data/version 1.122/species/?species_number=204" xr:uid="{00000000-0004-0000-0000-000014000000}"/>
    <hyperlink ref="C120" r:id="rId22" display="https://atct.anl.gov/Thermochemical Data/version 1.122/species/?species_number=204" xr:uid="{00000000-0004-0000-0000-000015000000}"/>
    <hyperlink ref="C146" r:id="rId23" display="https://atct.anl.gov/Thermochemical Data/version 1.122/species/?species_number=216" xr:uid="{00000000-0004-0000-0000-000016000000}"/>
  </hyperlinks>
  <pageMargins left="0.25" right="0.25" top="0.75" bottom="0.75" header="0.3" footer="0.3"/>
  <pageSetup paperSize="9" scale="47" fitToHeight="0" orientation="portrait" r:id="rId24"/>
  <legacy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>
      <selection activeCell="H15" sqref="H15"/>
    </sheetView>
  </sheetViews>
  <sheetFormatPr defaultColWidth="9.109375" defaultRowHeight="13.8" x14ac:dyDescent="0.25"/>
  <cols>
    <col min="1" max="1" width="5.33203125" style="86" customWidth="1"/>
    <col min="2" max="2" width="9.109375" style="86"/>
    <col min="3" max="3" width="27.5546875" style="86" bestFit="1" customWidth="1"/>
    <col min="4" max="4" width="20.109375" style="87" customWidth="1"/>
    <col min="5" max="5" width="9.109375" style="86"/>
    <col min="6" max="6" width="17" style="86" bestFit="1" customWidth="1"/>
    <col min="7" max="16384" width="9.109375" style="86"/>
  </cols>
  <sheetData>
    <row r="1" spans="1:8" x14ac:dyDescent="0.25">
      <c r="C1" s="86" t="s">
        <v>860</v>
      </c>
    </row>
    <row r="3" spans="1:8" x14ac:dyDescent="0.25">
      <c r="A3" s="86" t="s">
        <v>861</v>
      </c>
      <c r="B3" s="88" t="s">
        <v>862</v>
      </c>
      <c r="C3" s="88"/>
      <c r="D3" s="90"/>
      <c r="E3" s="88" t="s">
        <v>845</v>
      </c>
      <c r="F3" s="88" t="s">
        <v>846</v>
      </c>
      <c r="G3" s="88" t="s">
        <v>847</v>
      </c>
      <c r="H3" s="88" t="s">
        <v>848</v>
      </c>
    </row>
    <row r="4" spans="1:8" x14ac:dyDescent="0.25">
      <c r="A4" s="86">
        <v>1</v>
      </c>
      <c r="B4" s="84">
        <v>100</v>
      </c>
      <c r="C4" s="88" t="s">
        <v>10</v>
      </c>
      <c r="D4" s="42" t="s">
        <v>11</v>
      </c>
      <c r="E4" s="88">
        <v>-1.3862332695984704E-2</v>
      </c>
      <c r="F4" s="88">
        <v>0</v>
      </c>
      <c r="G4" s="83">
        <v>-1.0948</v>
      </c>
      <c r="H4" s="83">
        <v>-0.1222</v>
      </c>
    </row>
    <row r="5" spans="1:8" x14ac:dyDescent="0.25">
      <c r="A5" s="86">
        <v>2</v>
      </c>
      <c r="B5" s="84">
        <v>102</v>
      </c>
      <c r="C5" s="88" t="s">
        <v>29</v>
      </c>
      <c r="D5" s="42" t="s">
        <v>43</v>
      </c>
      <c r="E5" s="88">
        <v>171.33986615678774</v>
      </c>
      <c r="F5" s="88">
        <v>1.1950286806883365E-2</v>
      </c>
      <c r="G5" s="83">
        <v>171.2159</v>
      </c>
      <c r="H5" s="83">
        <v>171.21019999999999</v>
      </c>
    </row>
    <row r="6" spans="1:8" x14ac:dyDescent="0.25">
      <c r="A6" s="86">
        <v>3</v>
      </c>
      <c r="B6" s="84">
        <v>103</v>
      </c>
      <c r="C6" s="88" t="s">
        <v>206</v>
      </c>
      <c r="D6" s="42" t="s">
        <v>849</v>
      </c>
      <c r="E6" s="88">
        <v>142.47609942638624</v>
      </c>
      <c r="F6" s="88">
        <v>2.6290630975143402E-2</v>
      </c>
      <c r="G6" s="83">
        <v>142.48140000000001</v>
      </c>
      <c r="H6" s="83">
        <v>148.32089999999999</v>
      </c>
    </row>
    <row r="7" spans="1:8" x14ac:dyDescent="0.25">
      <c r="A7" s="86">
        <v>4</v>
      </c>
      <c r="B7" s="84">
        <v>104</v>
      </c>
      <c r="C7" s="88" t="s">
        <v>220</v>
      </c>
      <c r="D7" s="42" t="s">
        <v>850</v>
      </c>
      <c r="E7" s="88">
        <v>93.575525812619489</v>
      </c>
      <c r="F7" s="88">
        <v>2.8680688336520075E-2</v>
      </c>
      <c r="G7" s="83">
        <v>94.752399999999994</v>
      </c>
      <c r="H7" s="83">
        <v>85.807900000000004</v>
      </c>
    </row>
    <row r="8" spans="1:8" x14ac:dyDescent="0.25">
      <c r="A8" s="86">
        <v>5</v>
      </c>
      <c r="B8" s="84">
        <v>1</v>
      </c>
      <c r="C8" s="88" t="s">
        <v>205</v>
      </c>
      <c r="D8" s="42" t="s">
        <v>50</v>
      </c>
      <c r="E8" s="88">
        <v>34.984225621414915</v>
      </c>
      <c r="F8" s="88">
        <v>1.9120458891013385E-2</v>
      </c>
      <c r="G8" s="85">
        <v>35.671599999999998</v>
      </c>
      <c r="H8" s="83">
        <v>44.990900000000003</v>
      </c>
    </row>
    <row r="9" spans="1:8" x14ac:dyDescent="0.25">
      <c r="A9" s="86">
        <v>6</v>
      </c>
      <c r="B9" s="84">
        <v>2</v>
      </c>
      <c r="C9" s="89" t="s">
        <v>51</v>
      </c>
      <c r="D9" s="42" t="s">
        <v>52</v>
      </c>
      <c r="E9" s="88">
        <v>-17.810707456978967</v>
      </c>
      <c r="F9" s="88">
        <v>1.3623326959847037E-2</v>
      </c>
      <c r="G9" s="85">
        <v>-17.5457</v>
      </c>
      <c r="H9" s="83">
        <v>13.326700000000001</v>
      </c>
    </row>
    <row r="10" spans="1:8" x14ac:dyDescent="0.25">
      <c r="A10" s="86">
        <v>7</v>
      </c>
      <c r="B10" s="84">
        <v>105</v>
      </c>
      <c r="C10" s="88" t="s">
        <v>780</v>
      </c>
      <c r="D10" s="42" t="s">
        <v>827</v>
      </c>
      <c r="E10" s="88">
        <v>198.05927342256211</v>
      </c>
      <c r="F10" s="88">
        <v>6.4531548757170168E-2</v>
      </c>
      <c r="G10" s="85">
        <v>197.3527</v>
      </c>
      <c r="H10" s="83">
        <v>218.99350000000001</v>
      </c>
    </row>
    <row r="11" spans="1:8" x14ac:dyDescent="0.25">
      <c r="A11" s="86">
        <v>8</v>
      </c>
      <c r="B11" s="84">
        <v>3</v>
      </c>
      <c r="C11" s="89" t="s">
        <v>666</v>
      </c>
      <c r="D11" s="42" t="s">
        <v>667</v>
      </c>
      <c r="E11" s="88">
        <v>135.75286806883364</v>
      </c>
      <c r="F11" s="88">
        <v>3.5850860420650089E-2</v>
      </c>
      <c r="G11" s="85">
        <v>137.00960000000001</v>
      </c>
      <c r="H11" s="83">
        <v>150.2122</v>
      </c>
    </row>
    <row r="12" spans="1:8" x14ac:dyDescent="0.25">
      <c r="A12" s="86">
        <v>9</v>
      </c>
      <c r="B12" s="84">
        <v>4</v>
      </c>
      <c r="C12" s="88" t="s">
        <v>53</v>
      </c>
      <c r="D12" s="42" t="s">
        <v>54</v>
      </c>
      <c r="E12" s="88">
        <v>54.560229445506693</v>
      </c>
      <c r="F12" s="88">
        <v>3.3460803059273424E-2</v>
      </c>
      <c r="G12" s="85">
        <v>56.131900000000002</v>
      </c>
      <c r="H12" s="83">
        <v>69.098799999999997</v>
      </c>
    </row>
    <row r="13" spans="1:8" x14ac:dyDescent="0.25">
      <c r="A13" s="86">
        <v>10</v>
      </c>
      <c r="B13" s="84">
        <v>106</v>
      </c>
      <c r="C13" s="88" t="s">
        <v>792</v>
      </c>
      <c r="D13" s="42" t="s">
        <v>851</v>
      </c>
      <c r="E13" s="88">
        <v>98.51816443594646</v>
      </c>
      <c r="F13" s="88">
        <v>7.8871892925430218E-2</v>
      </c>
      <c r="G13" s="85">
        <v>99.950100000000006</v>
      </c>
      <c r="H13" s="83">
        <v>125.3905</v>
      </c>
    </row>
    <row r="14" spans="1:8" x14ac:dyDescent="0.25">
      <c r="A14" s="86">
        <v>11</v>
      </c>
      <c r="B14" s="84">
        <v>107</v>
      </c>
      <c r="C14" s="88" t="s">
        <v>793</v>
      </c>
      <c r="D14" s="42" t="s">
        <v>852</v>
      </c>
      <c r="E14" s="88">
        <v>120.66921606118547</v>
      </c>
      <c r="F14" s="88">
        <v>0.20793499043977054</v>
      </c>
      <c r="G14" s="85">
        <v>121.6585</v>
      </c>
      <c r="H14" s="83">
        <v>135.04150000000001</v>
      </c>
    </row>
    <row r="15" spans="1:8" x14ac:dyDescent="0.25">
      <c r="A15" s="86">
        <v>12</v>
      </c>
      <c r="B15" s="84">
        <v>5</v>
      </c>
      <c r="C15" s="88" t="s">
        <v>55</v>
      </c>
      <c r="D15" s="42" t="s">
        <v>56</v>
      </c>
      <c r="E15" s="88">
        <v>70.963193116634798</v>
      </c>
      <c r="F15" s="88">
        <v>7.8871892925430218E-2</v>
      </c>
      <c r="G15" s="85">
        <v>71.977800000000002</v>
      </c>
      <c r="H15" s="83">
        <v>78.199299999999994</v>
      </c>
    </row>
    <row r="16" spans="1:8" x14ac:dyDescent="0.25">
      <c r="A16" s="86">
        <v>13</v>
      </c>
      <c r="B16" s="84">
        <v>6</v>
      </c>
      <c r="C16" s="88" t="s">
        <v>57</v>
      </c>
      <c r="D16" s="42" t="s">
        <v>58</v>
      </c>
      <c r="E16" s="88">
        <v>12.53585086042065</v>
      </c>
      <c r="F16" s="88">
        <v>3.1070745697896748E-2</v>
      </c>
      <c r="G16" s="85">
        <v>13.552</v>
      </c>
      <c r="H16" s="83">
        <v>41.592199999999998</v>
      </c>
    </row>
    <row r="17" spans="1:8" x14ac:dyDescent="0.25">
      <c r="A17" s="86">
        <v>14</v>
      </c>
      <c r="B17" s="84">
        <v>108</v>
      </c>
      <c r="C17" s="88" t="s">
        <v>788</v>
      </c>
      <c r="D17" s="42" t="s">
        <v>853</v>
      </c>
      <c r="E17" s="88">
        <v>84.715583173996166</v>
      </c>
      <c r="F17" s="88">
        <v>0.19598470363288717</v>
      </c>
      <c r="G17" s="85">
        <v>86.137799999999999</v>
      </c>
      <c r="H17" s="83">
        <v>81.900999999999996</v>
      </c>
    </row>
    <row r="18" spans="1:8" x14ac:dyDescent="0.25">
      <c r="A18" s="86">
        <v>15</v>
      </c>
      <c r="B18" s="84">
        <v>8</v>
      </c>
      <c r="C18" s="89" t="s">
        <v>61</v>
      </c>
      <c r="D18" s="42" t="s">
        <v>62</v>
      </c>
      <c r="E18" s="88">
        <v>-20.054971319311662</v>
      </c>
      <c r="F18" s="88">
        <v>3.3460803059273424E-2</v>
      </c>
      <c r="G18" s="85">
        <v>-19.2776</v>
      </c>
      <c r="H18" s="83">
        <v>19.112500000000001</v>
      </c>
    </row>
    <row r="19" spans="1:8" x14ac:dyDescent="0.25">
      <c r="A19" s="86">
        <v>16</v>
      </c>
      <c r="B19" s="84">
        <v>109</v>
      </c>
      <c r="C19" s="88" t="s">
        <v>776</v>
      </c>
      <c r="D19" s="42" t="s">
        <v>854</v>
      </c>
      <c r="E19" s="88">
        <v>196.81644359464627</v>
      </c>
      <c r="F19" s="88">
        <v>0.12906309751434034</v>
      </c>
      <c r="G19" s="85">
        <v>198.19659999999999</v>
      </c>
      <c r="H19" s="83">
        <v>217.8304</v>
      </c>
    </row>
    <row r="20" spans="1:8" x14ac:dyDescent="0.25">
      <c r="A20" s="86">
        <v>17</v>
      </c>
      <c r="B20" s="84">
        <v>110</v>
      </c>
      <c r="C20" s="88" t="s">
        <v>785</v>
      </c>
      <c r="D20" s="42" t="s">
        <v>855</v>
      </c>
      <c r="E20" s="88">
        <v>172.63384321223708</v>
      </c>
      <c r="F20" s="88">
        <v>0.19359464627151052</v>
      </c>
      <c r="G20" s="85">
        <v>174.1532</v>
      </c>
      <c r="H20" s="83">
        <v>179.3347</v>
      </c>
    </row>
    <row r="21" spans="1:8" x14ac:dyDescent="0.25">
      <c r="A21" s="86">
        <v>18</v>
      </c>
      <c r="B21" s="84">
        <v>111</v>
      </c>
      <c r="C21" s="88" t="s">
        <v>777</v>
      </c>
      <c r="D21" s="42" t="s">
        <v>856</v>
      </c>
      <c r="E21" s="88">
        <v>130.58795411089866</v>
      </c>
      <c r="F21" s="88">
        <v>0.1505736137667304</v>
      </c>
      <c r="G21" s="85">
        <v>132.04929999999999</v>
      </c>
      <c r="H21" s="83">
        <v>119.55759999999999</v>
      </c>
    </row>
    <row r="22" spans="1:8" x14ac:dyDescent="0.25">
      <c r="A22" s="86">
        <v>19</v>
      </c>
      <c r="B22" s="84">
        <v>112</v>
      </c>
      <c r="C22" s="88" t="s">
        <v>782</v>
      </c>
      <c r="D22" s="42" t="s">
        <v>857</v>
      </c>
      <c r="E22" s="88">
        <v>132.78919694072658</v>
      </c>
      <c r="F22" s="88">
        <v>0.10038240917782026</v>
      </c>
      <c r="G22" s="85">
        <v>134.28720000000001</v>
      </c>
      <c r="H22" s="83">
        <v>156.61099999999999</v>
      </c>
    </row>
    <row r="23" spans="1:8" x14ac:dyDescent="0.25">
      <c r="A23" s="86">
        <v>20</v>
      </c>
      <c r="B23" s="84">
        <v>9</v>
      </c>
      <c r="C23" s="88" t="s">
        <v>97</v>
      </c>
      <c r="D23" s="42" t="s">
        <v>98</v>
      </c>
      <c r="E23" s="88">
        <v>83.996175908221787</v>
      </c>
      <c r="F23" s="88">
        <v>9.0822179732313574E-2</v>
      </c>
      <c r="G23" s="85">
        <v>85.372600000000006</v>
      </c>
      <c r="H23" s="83">
        <v>92.888999999999996</v>
      </c>
    </row>
    <row r="24" spans="1:8" x14ac:dyDescent="0.25">
      <c r="A24" s="86">
        <v>21</v>
      </c>
      <c r="B24" s="84">
        <v>10</v>
      </c>
      <c r="C24" s="88" t="s">
        <v>93</v>
      </c>
      <c r="D24" s="42" t="s">
        <v>670</v>
      </c>
      <c r="E24" s="88">
        <v>125.8699808795411</v>
      </c>
      <c r="F24" s="88">
        <v>0.19359464627151052</v>
      </c>
      <c r="G24" s="85">
        <v>128.44309999999999</v>
      </c>
      <c r="H24" s="83">
        <v>153.47989999999999</v>
      </c>
    </row>
    <row r="25" spans="1:8" x14ac:dyDescent="0.25">
      <c r="A25" s="86">
        <v>22</v>
      </c>
      <c r="B25" s="84">
        <v>11</v>
      </c>
      <c r="C25" s="88" t="s">
        <v>94</v>
      </c>
      <c r="D25" s="42" t="s">
        <v>672</v>
      </c>
      <c r="E25" s="88">
        <v>125.12667304015295</v>
      </c>
      <c r="F25" s="88">
        <v>0.18642447418738051</v>
      </c>
      <c r="G25" s="85">
        <v>126.82769999999999</v>
      </c>
      <c r="H25" s="83">
        <v>167.9237</v>
      </c>
    </row>
    <row r="26" spans="1:8" x14ac:dyDescent="0.25">
      <c r="A26" s="86">
        <v>23</v>
      </c>
      <c r="B26" s="84">
        <v>13</v>
      </c>
      <c r="C26" s="88" t="s">
        <v>63</v>
      </c>
      <c r="D26" s="42" t="s">
        <v>64</v>
      </c>
      <c r="E26" s="88">
        <v>45.377629063097515</v>
      </c>
      <c r="F26" s="88">
        <v>6.2141491395793495E-2</v>
      </c>
      <c r="G26" s="85">
        <v>46.842199999999998</v>
      </c>
      <c r="H26" s="83">
        <v>73.717399999999998</v>
      </c>
    </row>
    <row r="27" spans="1:8" x14ac:dyDescent="0.25">
      <c r="A27" s="86">
        <v>24</v>
      </c>
      <c r="B27" s="84">
        <v>14</v>
      </c>
      <c r="C27" s="88" t="s">
        <v>65</v>
      </c>
      <c r="D27" s="42" t="s">
        <v>66</v>
      </c>
      <c r="E27" s="88">
        <v>44.392925430210326</v>
      </c>
      <c r="F27" s="88">
        <v>5.9751434034416823E-2</v>
      </c>
      <c r="G27" s="85">
        <v>46.094299999999997</v>
      </c>
      <c r="H27" s="83">
        <v>71.364000000000004</v>
      </c>
    </row>
    <row r="28" spans="1:8" x14ac:dyDescent="0.25">
      <c r="A28" s="86">
        <v>25</v>
      </c>
      <c r="B28" s="84">
        <v>15</v>
      </c>
      <c r="C28" s="88" t="s">
        <v>674</v>
      </c>
      <c r="D28" s="42" t="s">
        <v>675</v>
      </c>
      <c r="E28" s="88">
        <v>67.834608030592733</v>
      </c>
      <c r="F28" s="88">
        <v>0.12906309751434034</v>
      </c>
      <c r="G28" s="85">
        <v>69.630899999999997</v>
      </c>
      <c r="H28" s="83">
        <v>103.2431</v>
      </c>
    </row>
    <row r="29" spans="1:8" x14ac:dyDescent="0.25">
      <c r="A29" s="86">
        <v>26</v>
      </c>
      <c r="B29" s="84">
        <v>16</v>
      </c>
      <c r="C29" s="88" t="s">
        <v>89</v>
      </c>
      <c r="D29" s="42" t="s">
        <v>90</v>
      </c>
      <c r="E29" s="88">
        <v>40.114722753346079</v>
      </c>
      <c r="F29" s="88">
        <v>0.12906309751434034</v>
      </c>
      <c r="G29" s="85">
        <v>41.464799999999997</v>
      </c>
      <c r="H29" s="83">
        <v>62.4756</v>
      </c>
    </row>
    <row r="30" spans="1:8" x14ac:dyDescent="0.25">
      <c r="A30" s="86">
        <v>27</v>
      </c>
      <c r="B30" s="84">
        <v>17</v>
      </c>
      <c r="C30" s="88" t="s">
        <v>676</v>
      </c>
      <c r="D30" s="42" t="s">
        <v>677</v>
      </c>
      <c r="E30" s="88">
        <v>60.363288718929255</v>
      </c>
      <c r="F30" s="88">
        <v>0.16969407265774378</v>
      </c>
      <c r="G30" s="85">
        <v>61.782400000000003</v>
      </c>
      <c r="H30" s="83">
        <v>78.074799999999996</v>
      </c>
    </row>
    <row r="31" spans="1:8" x14ac:dyDescent="0.25">
      <c r="A31" s="86">
        <v>28</v>
      </c>
      <c r="B31" s="84">
        <v>19</v>
      </c>
      <c r="C31" s="88" t="s">
        <v>74</v>
      </c>
      <c r="D31" s="42" t="s">
        <v>858</v>
      </c>
      <c r="E31" s="88">
        <v>64.342734225621413</v>
      </c>
      <c r="F31" s="88">
        <v>0.19359464627151052</v>
      </c>
      <c r="G31" s="85">
        <v>65.997299999999996</v>
      </c>
      <c r="H31" s="83">
        <v>83.789100000000005</v>
      </c>
    </row>
    <row r="32" spans="1:8" x14ac:dyDescent="0.25">
      <c r="A32" s="86">
        <v>29</v>
      </c>
      <c r="B32" s="84">
        <v>20</v>
      </c>
      <c r="C32" s="88" t="s">
        <v>96</v>
      </c>
      <c r="D32" s="42" t="s">
        <v>680</v>
      </c>
      <c r="E32" s="88">
        <v>69.359464627151041</v>
      </c>
      <c r="F32" s="88">
        <v>0.38240917782026768</v>
      </c>
      <c r="G32" s="85">
        <v>71.715800000000002</v>
      </c>
      <c r="H32" s="83">
        <v>92.3292</v>
      </c>
    </row>
    <row r="33" spans="1:8" x14ac:dyDescent="0.25">
      <c r="A33" s="86">
        <v>30</v>
      </c>
      <c r="B33" s="84">
        <v>21</v>
      </c>
      <c r="C33" s="88" t="s">
        <v>771</v>
      </c>
      <c r="D33" s="42" t="s">
        <v>67</v>
      </c>
      <c r="E33" s="88">
        <v>4.7777246653919692</v>
      </c>
      <c r="F33" s="88">
        <v>5.2581261950286805E-2</v>
      </c>
      <c r="G33" s="85">
        <v>6.4499000000000004</v>
      </c>
      <c r="H33" s="83">
        <v>45.712800000000001</v>
      </c>
    </row>
    <row r="34" spans="1:8" x14ac:dyDescent="0.25">
      <c r="A34" s="86">
        <v>31</v>
      </c>
      <c r="B34" s="84">
        <v>22</v>
      </c>
      <c r="C34" s="88" t="s">
        <v>91</v>
      </c>
      <c r="D34" s="42" t="s">
        <v>633</v>
      </c>
      <c r="E34" s="88">
        <v>12.82265774378585</v>
      </c>
      <c r="F34" s="88">
        <v>0.10994263862332695</v>
      </c>
      <c r="G34" s="85">
        <v>14.6279</v>
      </c>
      <c r="H34" s="83">
        <v>57.97</v>
      </c>
    </row>
    <row r="35" spans="1:8" x14ac:dyDescent="0.25">
      <c r="A35" s="86">
        <v>32</v>
      </c>
      <c r="B35" s="84">
        <v>23</v>
      </c>
      <c r="C35" s="42" t="s">
        <v>70</v>
      </c>
      <c r="D35" s="42" t="s">
        <v>71</v>
      </c>
      <c r="E35" s="88">
        <v>24.094168260038241</v>
      </c>
      <c r="F35" s="88">
        <v>0.14579349904397704</v>
      </c>
      <c r="G35" s="85">
        <v>25.870999999999999</v>
      </c>
      <c r="H35" s="83">
        <v>52.500500000000002</v>
      </c>
    </row>
    <row r="36" spans="1:8" x14ac:dyDescent="0.25">
      <c r="A36" s="86">
        <v>33</v>
      </c>
      <c r="B36" s="84">
        <v>25</v>
      </c>
      <c r="C36" s="89" t="s">
        <v>68</v>
      </c>
      <c r="D36" s="42" t="s">
        <v>69</v>
      </c>
      <c r="E36" s="88">
        <v>-25.102772466539196</v>
      </c>
      <c r="F36" s="88">
        <v>4.5411089866156787E-2</v>
      </c>
      <c r="G36" s="85">
        <v>-23.677900000000001</v>
      </c>
      <c r="H36" s="83">
        <v>26.4359</v>
      </c>
    </row>
    <row r="37" spans="1:8" x14ac:dyDescent="0.25">
      <c r="A37" s="86">
        <v>34</v>
      </c>
      <c r="B37" s="84">
        <v>130</v>
      </c>
      <c r="C37" s="88" t="s">
        <v>797</v>
      </c>
      <c r="D37" s="42" t="s">
        <v>859</v>
      </c>
      <c r="E37" s="88">
        <v>110.01434034416826</v>
      </c>
      <c r="F37" s="88">
        <v>0.20554493307839386</v>
      </c>
      <c r="G37" s="85">
        <v>112.54430000000001</v>
      </c>
      <c r="H37" s="83">
        <v>126.19370000000001</v>
      </c>
    </row>
    <row r="38" spans="1:8" x14ac:dyDescent="0.25">
      <c r="A38" s="86">
        <v>35</v>
      </c>
      <c r="B38" s="84">
        <v>26</v>
      </c>
      <c r="C38" s="89" t="s">
        <v>216</v>
      </c>
      <c r="D38" s="42" t="s">
        <v>217</v>
      </c>
      <c r="E38" s="88">
        <v>39.61998087954111</v>
      </c>
      <c r="F38" s="88">
        <v>0.16013384321223709</v>
      </c>
      <c r="G38" s="85">
        <v>42.218000000000004</v>
      </c>
      <c r="H38" s="85">
        <v>79.666799999999995</v>
      </c>
    </row>
    <row r="39" spans="1:8" x14ac:dyDescent="0.25">
      <c r="A39" s="86">
        <v>36</v>
      </c>
      <c r="B39" s="84">
        <v>27</v>
      </c>
      <c r="C39" s="89" t="s">
        <v>209</v>
      </c>
      <c r="D39" s="42" t="s">
        <v>210</v>
      </c>
      <c r="E39" s="88">
        <v>34.894837476099426</v>
      </c>
      <c r="F39" s="88">
        <v>0.14101338432122371</v>
      </c>
      <c r="G39" s="85">
        <v>37.271799999999999</v>
      </c>
      <c r="H39" s="83">
        <v>73.857299999999995</v>
      </c>
    </row>
    <row r="40" spans="1:8" x14ac:dyDescent="0.25">
      <c r="A40" s="86">
        <v>37</v>
      </c>
      <c r="B40" s="84">
        <v>28</v>
      </c>
      <c r="C40" s="89" t="s">
        <v>637</v>
      </c>
      <c r="D40" s="42" t="s">
        <v>638</v>
      </c>
      <c r="E40" s="88">
        <v>26.426864244741871</v>
      </c>
      <c r="F40" s="88">
        <v>0.10038240917782026</v>
      </c>
      <c r="G40" s="85">
        <v>28.973099999999999</v>
      </c>
      <c r="H40" s="83">
        <v>72.309299999999993</v>
      </c>
    </row>
    <row r="41" spans="1:8" x14ac:dyDescent="0.25">
      <c r="A41" s="86">
        <v>38</v>
      </c>
      <c r="B41" s="84">
        <v>29</v>
      </c>
      <c r="C41" s="89" t="s">
        <v>218</v>
      </c>
      <c r="D41" s="42" t="s">
        <v>645</v>
      </c>
      <c r="E41" s="88">
        <v>38.178776290630978</v>
      </c>
      <c r="F41" s="88">
        <v>0.22227533460803059</v>
      </c>
      <c r="G41" s="85">
        <v>41.037799999999997</v>
      </c>
      <c r="H41" s="83">
        <v>88.604600000000005</v>
      </c>
    </row>
    <row r="42" spans="1:8" x14ac:dyDescent="0.25">
      <c r="A42" s="86">
        <v>39</v>
      </c>
      <c r="B42" s="84">
        <v>30</v>
      </c>
      <c r="C42" s="42" t="s">
        <v>211</v>
      </c>
      <c r="D42" s="42" t="s">
        <v>625</v>
      </c>
      <c r="E42" s="88">
        <v>-1.9120458891013385E-2</v>
      </c>
      <c r="F42" s="88">
        <v>9.0822179732313574E-2</v>
      </c>
      <c r="G42" s="85">
        <v>2.3759999999999999</v>
      </c>
      <c r="H42" s="83">
        <v>53.577100000000002</v>
      </c>
    </row>
    <row r="43" spans="1:8" x14ac:dyDescent="0.25">
      <c r="A43" s="86">
        <v>40</v>
      </c>
      <c r="B43" s="84">
        <v>32</v>
      </c>
      <c r="C43" s="42" t="s">
        <v>214</v>
      </c>
      <c r="D43" s="42" t="s">
        <v>215</v>
      </c>
      <c r="E43" s="88">
        <v>-2.7007648183556405</v>
      </c>
      <c r="F43" s="88">
        <v>9.7992351816443585E-2</v>
      </c>
      <c r="G43" s="85">
        <v>-0.41930000000000001</v>
      </c>
      <c r="H43" s="83">
        <v>49.734900000000003</v>
      </c>
    </row>
    <row r="44" spans="1:8" x14ac:dyDescent="0.25">
      <c r="A44" s="86">
        <v>41</v>
      </c>
      <c r="B44" s="84">
        <v>33</v>
      </c>
      <c r="C44" s="42" t="s">
        <v>628</v>
      </c>
      <c r="D44" s="43" t="s">
        <v>631</v>
      </c>
      <c r="E44" s="88">
        <v>-4.0989483747609938</v>
      </c>
      <c r="F44" s="88">
        <v>0.10516252390057361</v>
      </c>
      <c r="G44" s="85">
        <v>-1.8254999999999999</v>
      </c>
      <c r="H44" s="83">
        <v>51.747399999999999</v>
      </c>
    </row>
    <row r="45" spans="1:8" x14ac:dyDescent="0.25">
      <c r="A45" s="86">
        <v>42</v>
      </c>
      <c r="B45" s="84">
        <v>34</v>
      </c>
      <c r="C45" s="89" t="s">
        <v>784</v>
      </c>
      <c r="D45" s="42" t="s">
        <v>92</v>
      </c>
      <c r="E45" s="88">
        <v>6.6037284894837471</v>
      </c>
      <c r="F45" s="88">
        <v>0.11233269598470362</v>
      </c>
      <c r="G45" s="85">
        <v>9.7477999999999998</v>
      </c>
      <c r="H45" s="83">
        <v>53.596899999999998</v>
      </c>
    </row>
    <row r="46" spans="1:8" x14ac:dyDescent="0.25">
      <c r="A46" s="86">
        <v>43</v>
      </c>
      <c r="B46" s="84">
        <v>35</v>
      </c>
      <c r="C46" s="89" t="s">
        <v>686</v>
      </c>
      <c r="D46" s="42" t="s">
        <v>687</v>
      </c>
      <c r="E46" s="88">
        <v>5.8078393881453154</v>
      </c>
      <c r="F46" s="88">
        <v>0.31070745697896751</v>
      </c>
      <c r="G46" s="85">
        <v>8.0783000000000005</v>
      </c>
      <c r="H46" s="83">
        <v>64.803399999999996</v>
      </c>
    </row>
    <row r="47" spans="1:8" x14ac:dyDescent="0.25">
      <c r="A47" s="86">
        <v>44</v>
      </c>
      <c r="B47" s="84">
        <v>36</v>
      </c>
      <c r="C47" s="42" t="s">
        <v>207</v>
      </c>
      <c r="D47" s="42" t="s">
        <v>688</v>
      </c>
      <c r="E47" s="88">
        <v>18.702198852772465</v>
      </c>
      <c r="F47" s="88">
        <v>0.23422562141491393</v>
      </c>
      <c r="G47" s="85">
        <v>21.447399999999998</v>
      </c>
      <c r="H47" s="83">
        <v>60.005000000000003</v>
      </c>
    </row>
    <row r="48" spans="1:8" x14ac:dyDescent="0.25">
      <c r="A48" s="86">
        <v>45</v>
      </c>
      <c r="B48" s="84">
        <v>37</v>
      </c>
      <c r="C48" s="42" t="s">
        <v>101</v>
      </c>
      <c r="D48" s="43" t="s">
        <v>102</v>
      </c>
      <c r="E48" s="88">
        <v>-30.100382409177818</v>
      </c>
      <c r="F48" s="88">
        <v>6.4531548757170168E-2</v>
      </c>
      <c r="G48" s="85">
        <v>-27.905000000000001</v>
      </c>
      <c r="H48" s="83">
        <v>33.979399999999998</v>
      </c>
    </row>
    <row r="49" spans="1:8" x14ac:dyDescent="0.25">
      <c r="A49" s="86">
        <v>46</v>
      </c>
      <c r="B49" s="84">
        <v>38</v>
      </c>
      <c r="C49" s="42" t="s">
        <v>783</v>
      </c>
      <c r="D49" s="43" t="s">
        <v>208</v>
      </c>
      <c r="E49" s="88">
        <v>-32.213193116634798</v>
      </c>
      <c r="F49" s="88">
        <v>7.8871892925430218E-2</v>
      </c>
      <c r="G49" s="85">
        <v>-30.167400000000001</v>
      </c>
      <c r="H49" s="83">
        <v>35.295699999999997</v>
      </c>
    </row>
    <row r="50" spans="1:8" x14ac:dyDescent="0.25">
      <c r="A50" s="86">
        <v>47</v>
      </c>
      <c r="B50" s="84">
        <v>39</v>
      </c>
      <c r="C50" s="89" t="s">
        <v>219</v>
      </c>
      <c r="D50" s="42" t="s">
        <v>692</v>
      </c>
      <c r="E50" s="88">
        <v>31.730401529636708</v>
      </c>
      <c r="F50" s="88">
        <v>0.18164435946462715</v>
      </c>
      <c r="G50" s="85">
        <v>35.019799999999996</v>
      </c>
      <c r="H50" s="83">
        <v>83.339200000000005</v>
      </c>
    </row>
    <row r="51" spans="1:8" x14ac:dyDescent="0.25">
      <c r="A51" s="86">
        <v>48</v>
      </c>
      <c r="B51" s="84">
        <v>40</v>
      </c>
      <c r="C51" s="89" t="s">
        <v>791</v>
      </c>
      <c r="D51" s="42" t="s">
        <v>662</v>
      </c>
      <c r="E51" s="88">
        <v>8.0903441682600388</v>
      </c>
      <c r="F51" s="88">
        <v>0.10755258126195029</v>
      </c>
      <c r="G51" s="85">
        <v>11.216699999999999</v>
      </c>
      <c r="H51" s="83">
        <v>60.728400000000001</v>
      </c>
    </row>
    <row r="52" spans="1:8" x14ac:dyDescent="0.25">
      <c r="A52" s="86">
        <v>49</v>
      </c>
      <c r="B52" s="84">
        <v>41</v>
      </c>
      <c r="C52" s="89" t="s">
        <v>790</v>
      </c>
      <c r="D52" s="42" t="s">
        <v>660</v>
      </c>
      <c r="E52" s="88">
        <v>-18.542065009560229</v>
      </c>
      <c r="F52" s="88">
        <v>0.10516252390057361</v>
      </c>
      <c r="G52" s="85">
        <v>-15.4404</v>
      </c>
      <c r="H52" s="83">
        <v>40.4895</v>
      </c>
    </row>
    <row r="53" spans="1:8" x14ac:dyDescent="0.25">
      <c r="A53" s="86">
        <v>50</v>
      </c>
      <c r="B53" s="84">
        <v>42</v>
      </c>
      <c r="C53" s="89" t="s">
        <v>647</v>
      </c>
      <c r="D53" s="42" t="s">
        <v>648</v>
      </c>
      <c r="E53" s="88">
        <v>-34.976099426386234</v>
      </c>
      <c r="F53" s="88">
        <v>7.4091778202676858E-2</v>
      </c>
      <c r="G53" s="85">
        <v>-32.136600000000001</v>
      </c>
      <c r="H53" s="83">
        <v>41.536200000000001</v>
      </c>
    </row>
    <row r="54" spans="1:8" x14ac:dyDescent="0.25">
      <c r="A54" s="86">
        <v>51</v>
      </c>
      <c r="B54" s="84">
        <v>43</v>
      </c>
      <c r="C54" s="89" t="s">
        <v>649</v>
      </c>
      <c r="D54" s="42" t="s">
        <v>650</v>
      </c>
      <c r="E54" s="88">
        <v>-36.632409177820271</v>
      </c>
      <c r="F54" s="88">
        <v>0.10516252390057361</v>
      </c>
      <c r="G54" s="85">
        <v>-34.075000000000003</v>
      </c>
      <c r="H54" s="83">
        <v>39.867600000000003</v>
      </c>
    </row>
    <row r="55" spans="1:8" x14ac:dyDescent="0.25">
      <c r="A55" s="86">
        <v>52</v>
      </c>
      <c r="B55" s="84">
        <v>45</v>
      </c>
      <c r="C55" s="89" t="s">
        <v>697</v>
      </c>
      <c r="D55" s="42" t="s">
        <v>696</v>
      </c>
      <c r="E55" s="88">
        <v>80.564053537284892</v>
      </c>
      <c r="F55" s="88">
        <v>0.13623326959847035</v>
      </c>
      <c r="G55" s="85">
        <v>85.3279</v>
      </c>
      <c r="H55" s="83">
        <v>116.2205</v>
      </c>
    </row>
    <row r="56" spans="1:8" x14ac:dyDescent="0.25">
      <c r="A56" s="86">
        <v>53</v>
      </c>
      <c r="B56" s="84">
        <v>46</v>
      </c>
      <c r="C56" s="89" t="s">
        <v>694</v>
      </c>
      <c r="D56" s="42" t="s">
        <v>612</v>
      </c>
      <c r="E56" s="88">
        <v>19.86376673040153</v>
      </c>
      <c r="F56" s="88">
        <v>5.9751434034416823E-2</v>
      </c>
      <c r="G56" s="85">
        <v>22.1036</v>
      </c>
      <c r="H56" s="83">
        <v>71.667599999999993</v>
      </c>
    </row>
    <row r="57" spans="1:8" x14ac:dyDescent="0.25">
      <c r="A57" s="86">
        <v>54</v>
      </c>
      <c r="B57" s="84">
        <v>47</v>
      </c>
      <c r="C57" s="89" t="s">
        <v>699</v>
      </c>
      <c r="D57" s="42" t="s">
        <v>700</v>
      </c>
      <c r="E57" s="88">
        <v>20.026290630975144</v>
      </c>
      <c r="F57" s="88">
        <v>9.5602294455066919E-2</v>
      </c>
      <c r="G57" s="85">
        <v>23.957899999999999</v>
      </c>
      <c r="H57" s="83">
        <v>88.3322</v>
      </c>
    </row>
    <row r="58" spans="1:8" x14ac:dyDescent="0.25">
      <c r="A58" s="86">
        <v>55</v>
      </c>
      <c r="B58" s="84">
        <v>48</v>
      </c>
      <c r="C58" s="89" t="s">
        <v>222</v>
      </c>
      <c r="D58" s="42" t="s">
        <v>223</v>
      </c>
      <c r="E58" s="88">
        <v>-29.43355640535373</v>
      </c>
      <c r="F58" s="88">
        <v>8.6042065009560229E-2</v>
      </c>
      <c r="G58" s="85">
        <v>-26.2776</v>
      </c>
      <c r="H58" s="83">
        <v>44.8872</v>
      </c>
    </row>
    <row r="59" spans="1:8" x14ac:dyDescent="0.25">
      <c r="A59" s="86">
        <v>56</v>
      </c>
      <c r="B59" s="84">
        <v>49</v>
      </c>
      <c r="C59" s="89" t="s">
        <v>787</v>
      </c>
      <c r="D59" s="42" t="s">
        <v>221</v>
      </c>
      <c r="E59" s="88">
        <v>-39.8972275334608</v>
      </c>
      <c r="F59" s="88">
        <v>8.1261950286806883E-2</v>
      </c>
      <c r="G59" s="85">
        <v>-36.382300000000001</v>
      </c>
      <c r="H59" s="83">
        <v>49.090400000000002</v>
      </c>
    </row>
    <row r="60" spans="1:8" x14ac:dyDescent="0.25">
      <c r="A60" s="86">
        <v>57</v>
      </c>
      <c r="B60" s="84">
        <v>51</v>
      </c>
      <c r="C60" s="89" t="s">
        <v>406</v>
      </c>
      <c r="D60" s="42" t="s">
        <v>407</v>
      </c>
      <c r="E60" s="88">
        <v>50.788718929254301</v>
      </c>
      <c r="F60" s="88">
        <v>0.28680688336520072</v>
      </c>
      <c r="G60" s="85">
        <v>60.35</v>
      </c>
      <c r="H60" s="83">
        <v>131.73009999999999</v>
      </c>
    </row>
  </sheetData>
  <hyperlinks>
    <hyperlink ref="C44" r:id="rId1" display="https://atct.anl.gov/Thermochemical Data/version 1.122/species/?species_number=229" xr:uid="{00000000-0004-0000-0100-000000000000}"/>
    <hyperlink ref="C34" r:id="rId2" display="https://atct.anl.gov/Thermochemical Data/version 1.122/species/?species_number=151" xr:uid="{00000000-0004-0000-0100-000001000000}"/>
    <hyperlink ref="C41" r:id="rId3" display="https://atct.anl.gov/Thermochemical Data/version 1.122/species/?species_number=445" xr:uid="{00000000-0004-0000-0100-000002000000}"/>
    <hyperlink ref="C53" r:id="rId4" display="https://atct.anl.gov/Thermochemical Data/version 1.122/species/?species_number=173" xr:uid="{00000000-0004-0000-0100-000003000000}"/>
    <hyperlink ref="C54" r:id="rId5" display="https://atct.anl.gov/Thermochemical Data/version 1.122/species/?species_number=286" xr:uid="{00000000-0004-0000-0100-000004000000}"/>
    <hyperlink ref="C11" r:id="rId6" display="https://atct.anl.gov/Thermochemical Data/version 1.122/species/?species_number=119" xr:uid="{00000000-0004-0000-0100-000005000000}"/>
    <hyperlink ref="C23" r:id="rId7" display="https://atct.anl.gov/Thermochemical Data/version 1.122/species/?species_number=101" xr:uid="{00000000-0004-0000-0100-000006000000}"/>
    <hyperlink ref="C24" r:id="rId8" display="https://atct.anl.gov/Thermochemical Data/version 1.122/species/?species_number=281" xr:uid="{00000000-0004-0000-0100-000007000000}"/>
    <hyperlink ref="C25" r:id="rId9" display="https://atct.anl.gov/Thermochemical Data/version 1.122/species/?species_number=438" xr:uid="{00000000-0004-0000-0100-000008000000}"/>
    <hyperlink ref="C28" r:id="rId10" display="https://atct.anl.gov/Thermochemical Data/version 1.122/species/?species_number=374" xr:uid="{00000000-0004-0000-0100-000009000000}"/>
    <hyperlink ref="C32" r:id="rId11" display="https://atct.anl.gov/Thermochemical Data/version 1.122/species/?species_number=437" xr:uid="{00000000-0004-0000-0100-00000A000000}"/>
    <hyperlink ref="C46" r:id="rId12" display="https://atct.anl.gov/Thermochemical Data/version 1.122/species/?species_number=444" xr:uid="{00000000-0004-0000-0100-00000B000000}"/>
    <hyperlink ref="C50" r:id="rId13" display="https://atct.anl.gov/Thermochemical Data/version 1.122/species/?species_number=234" xr:uid="{00000000-0004-0000-0100-00000C000000}"/>
    <hyperlink ref="C58" r:id="rId14" display="https://atct.anl.gov/Thermochemical Data/version 1.122/species/?species_number=330" xr:uid="{00000000-0004-0000-0100-00000D000000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Data 12.06.18-wrong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2018-06-14T09:51:57Z</dcterms:modified>
</cp:coreProperties>
</file>